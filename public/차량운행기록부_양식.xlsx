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.06" sheetId="1" state="visible" r:id="rId1"/>
  </sheets>
  <definedNames>
    <definedName name="_xlnm.Print_Titles" localSheetId="0">'26.06'!$1:$5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3A5F"/>
      <sz val="9"/>
    </font>
    <font>
      <name val="맑은 고딕"/>
      <color rgb="00000000"/>
      <sz val="9"/>
    </font>
    <font>
      <name val="맑은 고딕"/>
      <b val="1"/>
      <color rgb="00FFFFFF"/>
      <sz val="9"/>
    </font>
    <font>
      <name val="맑은 고딕"/>
      <b val="1"/>
      <color rgb="00FFFFFF"/>
      <sz val="8"/>
    </font>
    <font>
      <name val="맑은 고딕"/>
      <b val="1"/>
      <color rgb="007B4F00"/>
      <sz val="8"/>
    </font>
    <font>
      <name val="맑은 고딕"/>
      <i val="1"/>
      <color rgb="007B4F00"/>
      <sz val="8"/>
    </font>
    <font>
      <name val="맑은 고딕"/>
      <color rgb="00222222"/>
      <sz val="9"/>
    </font>
    <font>
      <name val="맑은 고딕"/>
      <b val="1"/>
      <color rgb="00000000"/>
      <sz val="9"/>
    </font>
    <font>
      <name val="맑은 고딕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4F7"/>
      </patternFill>
    </fill>
    <fill>
      <patternFill patternType="solid">
        <fgColor rgb="00DDE3EC"/>
      </patternFill>
    </fill>
    <fill>
      <patternFill patternType="solid">
        <fgColor rgb="00FFF0B0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FF0E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9" fillId="3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3" fillId="0" borderId="2" pivotButton="0" quotePrefix="0" xfId="0"/>
    <xf numFmtId="164" fontId="2" fillId="0" borderId="2" applyAlignment="1" pivotButton="0" quotePrefix="0" xfId="0">
      <alignment horizontal="center" vertical="center"/>
    </xf>
    <xf numFmtId="0" fontId="1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8" customWidth="1" min="4" max="4"/>
    <col width="10" customWidth="1" min="5" max="5"/>
    <col width="8" customWidth="1" min="6" max="6"/>
    <col width="14" customWidth="1" min="7" max="7"/>
    <col width="14" customWidth="1" min="8" max="8"/>
    <col width="9" customWidth="1" min="9" max="9"/>
    <col width="9" customWidth="1" min="10" max="10"/>
    <col width="7" customWidth="1" min="11" max="11"/>
    <col width="8" customWidth="1" min="12" max="12"/>
    <col width="16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1" ht="30" customHeight="1">
      <c r="A1" s="1" t="inlineStr">
        <is>
          <t>업무용 승용차 운행기록부</t>
        </is>
      </c>
    </row>
    <row r="2" ht="18" customHeight="1">
      <c r="A2" s="2" t="inlineStr">
        <is>
          <t>법인명</t>
        </is>
      </c>
      <c r="E2" s="2" t="inlineStr">
        <is>
          <t>사업자등록번호</t>
        </is>
      </c>
      <c r="I2" s="2" t="inlineStr">
        <is>
          <t>사업연도</t>
        </is>
      </c>
      <c r="L2" s="2" t="inlineStr">
        <is>
          <t>차종</t>
        </is>
      </c>
      <c r="M2" s="3" t="inlineStr"/>
      <c r="N2" s="2" t="inlineStr">
        <is>
          <t>차량번호</t>
        </is>
      </c>
      <c r="O2" s="3" t="inlineStr"/>
      <c r="Q2" s="2" t="inlineStr">
        <is>
          <t>작성월</t>
        </is>
      </c>
    </row>
    <row r="3" ht="20" customHeight="1">
      <c r="A3" s="4" t="inlineStr">
        <is>
          <t>번호</t>
        </is>
      </c>
      <c r="B3" s="4" t="inlineStr">
        <is>
          <t>날짜</t>
        </is>
      </c>
      <c r="C3" s="4" t="inlineStr">
        <is>
          <t>운행 시간</t>
        </is>
      </c>
      <c r="E3" s="4" t="inlineStr">
        <is>
          <t>사용자</t>
        </is>
      </c>
      <c r="G3" s="4" t="inlineStr">
        <is>
          <t>운행 경로  ★</t>
        </is>
      </c>
      <c r="I3" s="4" t="inlineStr">
        <is>
          <t>계기판 (km)</t>
        </is>
      </c>
      <c r="L3" s="4" t="inlineStr">
        <is>
          <t>운행</t>
        </is>
      </c>
      <c r="M3" s="4" t="inlineStr">
        <is>
          <t>목적  ★</t>
        </is>
      </c>
      <c r="N3" s="4" t="inlineStr">
        <is>
          <t>운행거리 (km)</t>
        </is>
      </c>
      <c r="Q3" s="4" t="inlineStr">
        <is>
          <t>통행료</t>
        </is>
      </c>
      <c r="S3" s="4" t="inlineStr">
        <is>
          <t>비고</t>
        </is>
      </c>
    </row>
    <row r="4" ht="36" customHeight="1">
      <c r="A4" s="5" t="inlineStr"/>
      <c r="B4" s="5" t="inlineStr"/>
      <c r="C4" s="5" t="inlineStr">
        <is>
          <t>출발
시간</t>
        </is>
      </c>
      <c r="D4" s="5" t="inlineStr">
        <is>
          <t>도착
시간</t>
        </is>
      </c>
      <c r="E4" s="5" t="inlineStr">
        <is>
          <t>부서</t>
        </is>
      </c>
      <c r="F4" s="5" t="inlineStr">
        <is>
          <t>성명</t>
        </is>
      </c>
      <c r="G4" s="6" t="inlineStr">
        <is>
          <t>출발지  ★</t>
        </is>
      </c>
      <c r="H4" s="6" t="inlineStr">
        <is>
          <t>도착지  ★</t>
        </is>
      </c>
      <c r="I4" s="5" t="inlineStr">
        <is>
          <t>출발km
⑤</t>
        </is>
      </c>
      <c r="J4" s="5" t="inlineStr">
        <is>
          <t>도착km
⑥</t>
        </is>
      </c>
      <c r="K4" s="5" t="inlineStr">
        <is>
          <t>주행
거리</t>
        </is>
      </c>
      <c r="L4" s="6" t="inlineStr">
        <is>
          <t>유형
★</t>
        </is>
      </c>
      <c r="M4" s="6" t="inlineStr"/>
      <c r="N4" s="5" t="inlineStr">
        <is>
          <t>출퇴근</t>
        </is>
      </c>
      <c r="O4" s="5" t="inlineStr">
        <is>
          <t>업무</t>
        </is>
      </c>
      <c r="P4" s="5" t="inlineStr">
        <is>
          <t>개인</t>
        </is>
      </c>
      <c r="Q4" s="5" t="inlineStr">
        <is>
          <t>하이패스</t>
        </is>
      </c>
      <c r="R4" s="5" t="inlineStr">
        <is>
          <t>기타</t>
        </is>
      </c>
      <c r="S4" s="5" t="inlineStr"/>
    </row>
    <row r="5" ht="14" customHeight="1">
      <c r="A5" s="7" t="inlineStr">
        <is>
          <t xml:space="preserve">  ★ 표시된 항목(출발지·도착지·운행유형·목적)은 앱 업로드 시 필수 입력 항목입니다.  운행유형 → 업무 / 출퇴근 / 개인사용 중 하나를 입력하세요.</t>
        </is>
      </c>
    </row>
    <row r="6" ht="17" customHeight="1">
      <c r="A6" s="8" t="n">
        <v>1</v>
      </c>
      <c r="B6" s="8" t="inlineStr">
        <is>
          <t>6/1(월)</t>
        </is>
      </c>
      <c r="C6" s="8" t="inlineStr"/>
      <c r="D6" s="8" t="inlineStr"/>
      <c r="E6" s="8" t="inlineStr"/>
      <c r="F6" s="8" t="inlineStr"/>
      <c r="G6" s="9" t="inlineStr"/>
      <c r="H6" s="9" t="inlineStr"/>
      <c r="I6" s="8" t="inlineStr"/>
      <c r="J6" s="8" t="inlineStr"/>
      <c r="K6" s="10">
        <f>IF(AND(ISNUMBER(I6),ISNUMBER(J6)),J6-I6,"")</f>
        <v/>
      </c>
      <c r="L6" s="9" t="inlineStr"/>
      <c r="M6" s="9" t="inlineStr"/>
      <c r="N6" s="10">
        <f>IF(L6="출퇴근",K6,"")</f>
        <v/>
      </c>
      <c r="O6" s="10">
        <f>IF(L6="업무",K6,"")</f>
        <v/>
      </c>
      <c r="P6" s="10">
        <f>IF(L6="개인사용",K6,"")</f>
        <v/>
      </c>
      <c r="Q6" s="8" t="inlineStr"/>
      <c r="R6" s="8" t="inlineStr"/>
      <c r="S6" s="8" t="inlineStr"/>
    </row>
    <row r="7" ht="17" customHeight="1">
      <c r="A7" s="11" t="n">
        <v>2</v>
      </c>
      <c r="B7" s="11" t="inlineStr">
        <is>
          <t>6/2(화)</t>
        </is>
      </c>
      <c r="C7" s="11" t="inlineStr"/>
      <c r="D7" s="11" t="inlineStr"/>
      <c r="E7" s="11" t="inlineStr"/>
      <c r="F7" s="11" t="inlineStr"/>
      <c r="G7" s="9" t="inlineStr"/>
      <c r="H7" s="9" t="inlineStr"/>
      <c r="I7" s="11" t="inlineStr"/>
      <c r="J7" s="11" t="inlineStr"/>
      <c r="K7" s="12">
        <f>IF(AND(ISNUMBER(I7),ISNUMBER(J7)),J7-I7,"")</f>
        <v/>
      </c>
      <c r="L7" s="9" t="inlineStr"/>
      <c r="M7" s="9" t="inlineStr"/>
      <c r="N7" s="12">
        <f>IF(L7="출퇴근",K7,"")</f>
        <v/>
      </c>
      <c r="O7" s="12">
        <f>IF(L7="업무",K7,"")</f>
        <v/>
      </c>
      <c r="P7" s="12">
        <f>IF(L7="개인사용",K7,"")</f>
        <v/>
      </c>
      <c r="Q7" s="11" t="inlineStr"/>
      <c r="R7" s="11" t="inlineStr"/>
      <c r="S7" s="11" t="inlineStr"/>
    </row>
    <row r="8" ht="17" customHeight="1">
      <c r="A8" s="8" t="n">
        <v>3</v>
      </c>
      <c r="B8" s="8" t="inlineStr">
        <is>
          <t>6/3(수)</t>
        </is>
      </c>
      <c r="C8" s="8" t="inlineStr"/>
      <c r="D8" s="8" t="inlineStr"/>
      <c r="E8" s="8" t="inlineStr"/>
      <c r="F8" s="8" t="inlineStr"/>
      <c r="G8" s="9" t="inlineStr"/>
      <c r="H8" s="9" t="inlineStr"/>
      <c r="I8" s="8" t="inlineStr"/>
      <c r="J8" s="8" t="inlineStr"/>
      <c r="K8" s="10">
        <f>IF(AND(ISNUMBER(I8),ISNUMBER(J8)),J8-I8,"")</f>
        <v/>
      </c>
      <c r="L8" s="9" t="inlineStr"/>
      <c r="M8" s="9" t="inlineStr"/>
      <c r="N8" s="10">
        <f>IF(L8="출퇴근",K8,"")</f>
        <v/>
      </c>
      <c r="O8" s="10">
        <f>IF(L8="업무",K8,"")</f>
        <v/>
      </c>
      <c r="P8" s="10">
        <f>IF(L8="개인사용",K8,"")</f>
        <v/>
      </c>
      <c r="Q8" s="8" t="inlineStr"/>
      <c r="R8" s="8" t="inlineStr"/>
      <c r="S8" s="8" t="inlineStr"/>
    </row>
    <row r="9" ht="17" customHeight="1">
      <c r="A9" s="11" t="n">
        <v>4</v>
      </c>
      <c r="B9" s="11" t="inlineStr">
        <is>
          <t>6/4(목)</t>
        </is>
      </c>
      <c r="C9" s="11" t="inlineStr"/>
      <c r="D9" s="11" t="inlineStr"/>
      <c r="E9" s="11" t="inlineStr"/>
      <c r="F9" s="11" t="inlineStr"/>
      <c r="G9" s="9" t="inlineStr"/>
      <c r="H9" s="9" t="inlineStr"/>
      <c r="I9" s="11" t="inlineStr"/>
      <c r="J9" s="11" t="inlineStr"/>
      <c r="K9" s="12">
        <f>IF(AND(ISNUMBER(I9),ISNUMBER(J9)),J9-I9,"")</f>
        <v/>
      </c>
      <c r="L9" s="9" t="inlineStr"/>
      <c r="M9" s="9" t="inlineStr"/>
      <c r="N9" s="12">
        <f>IF(L9="출퇴근",K9,"")</f>
        <v/>
      </c>
      <c r="O9" s="12">
        <f>IF(L9="업무",K9,"")</f>
        <v/>
      </c>
      <c r="P9" s="12">
        <f>IF(L9="개인사용",K9,"")</f>
        <v/>
      </c>
      <c r="Q9" s="11" t="inlineStr"/>
      <c r="R9" s="11" t="inlineStr"/>
      <c r="S9" s="11" t="inlineStr"/>
    </row>
    <row r="10" ht="17" customHeight="1">
      <c r="A10" s="8" t="n">
        <v>5</v>
      </c>
      <c r="B10" s="8" t="inlineStr">
        <is>
          <t>6/5(금)</t>
        </is>
      </c>
      <c r="C10" s="8" t="inlineStr"/>
      <c r="D10" s="8" t="inlineStr"/>
      <c r="E10" s="8" t="inlineStr"/>
      <c r="F10" s="8" t="inlineStr"/>
      <c r="G10" s="9" t="inlineStr"/>
      <c r="H10" s="9" t="inlineStr"/>
      <c r="I10" s="8" t="inlineStr"/>
      <c r="J10" s="8" t="inlineStr"/>
      <c r="K10" s="10">
        <f>IF(AND(ISNUMBER(I10),ISNUMBER(J10)),J10-I10,"")</f>
        <v/>
      </c>
      <c r="L10" s="9" t="inlineStr"/>
      <c r="M10" s="9" t="inlineStr"/>
      <c r="N10" s="10">
        <f>IF(L10="출퇴근",K10,"")</f>
        <v/>
      </c>
      <c r="O10" s="10">
        <f>IF(L10="업무",K10,"")</f>
        <v/>
      </c>
      <c r="P10" s="10">
        <f>IF(L10="개인사용",K10,"")</f>
        <v/>
      </c>
      <c r="Q10" s="8" t="inlineStr"/>
      <c r="R10" s="8" t="inlineStr"/>
      <c r="S10" s="8" t="inlineStr"/>
    </row>
    <row r="11" ht="17" customHeight="1">
      <c r="A11" s="13" t="n">
        <v>6</v>
      </c>
      <c r="B11" s="13" t="inlineStr">
        <is>
          <t>6/6(토)</t>
        </is>
      </c>
      <c r="C11" s="13" t="inlineStr">
        <is>
          <t>08:30</t>
        </is>
      </c>
      <c r="D11" s="13" t="inlineStr">
        <is>
          <t>09:05</t>
        </is>
      </c>
      <c r="E11" s="13" t="inlineStr">
        <is>
          <t>경영지원그룹</t>
        </is>
      </c>
      <c r="F11" s="13" t="inlineStr">
        <is>
          <t>홍길동</t>
        </is>
      </c>
      <c r="G11" s="14" t="inlineStr">
        <is>
          <t>삼우에레코 본사</t>
        </is>
      </c>
      <c r="H11" s="14" t="inlineStr">
        <is>
          <t>고객사A</t>
        </is>
      </c>
      <c r="I11" s="13" t="n">
        <v>93500</v>
      </c>
      <c r="J11" s="13" t="n">
        <v>93520</v>
      </c>
      <c r="K11" s="15">
        <f>IF(AND(ISNUMBER(I11),ISNUMBER(J11)),J11-I11,"")</f>
        <v/>
      </c>
      <c r="L11" s="14" t="inlineStr">
        <is>
          <t>업무</t>
        </is>
      </c>
      <c r="M11" s="14" t="inlineStr">
        <is>
          <t>고객사 방문</t>
        </is>
      </c>
      <c r="N11" s="15">
        <f>IF(L11="출퇴근",K11,"")</f>
        <v/>
      </c>
      <c r="O11" s="15">
        <f>IF(L11="업무",K11,"")</f>
        <v/>
      </c>
      <c r="P11" s="15">
        <f>IF(L11="개인사용",K11,"")</f>
        <v/>
      </c>
      <c r="Q11" s="13" t="inlineStr"/>
      <c r="R11" s="13" t="inlineStr"/>
      <c r="S11" s="13" t="inlineStr"/>
    </row>
    <row r="12" ht="17" customHeight="1">
      <c r="A12" s="13" t="n">
        <v>7</v>
      </c>
      <c r="B12" s="13" t="inlineStr">
        <is>
          <t>6/7(일)</t>
        </is>
      </c>
      <c r="C12" s="13" t="inlineStr">
        <is>
          <t>18:20</t>
        </is>
      </c>
      <c r="D12" s="13" t="inlineStr">
        <is>
          <t>18:55</t>
        </is>
      </c>
      <c r="E12" s="13" t="inlineStr">
        <is>
          <t>경영지원그룹</t>
        </is>
      </c>
      <c r="F12" s="13" t="inlineStr">
        <is>
          <t>홍길동</t>
        </is>
      </c>
      <c r="G12" s="14" t="inlineStr">
        <is>
          <t>고객사A</t>
        </is>
      </c>
      <c r="H12" s="14" t="inlineStr">
        <is>
          <t>자택</t>
        </is>
      </c>
      <c r="I12" s="13" t="n">
        <v>93520</v>
      </c>
      <c r="J12" s="13" t="n">
        <v>93540</v>
      </c>
      <c r="K12" s="15">
        <f>IF(AND(ISNUMBER(I12),ISNUMBER(J12)),J12-I12,"")</f>
        <v/>
      </c>
      <c r="L12" s="14" t="inlineStr">
        <is>
          <t>출퇴근</t>
        </is>
      </c>
      <c r="M12" s="14" t="inlineStr">
        <is>
          <t>퇴근</t>
        </is>
      </c>
      <c r="N12" s="15">
        <f>IF(L12="출퇴근",K12,"")</f>
        <v/>
      </c>
      <c r="O12" s="15">
        <f>IF(L12="업무",K12,"")</f>
        <v/>
      </c>
      <c r="P12" s="15">
        <f>IF(L12="개인사용",K12,"")</f>
        <v/>
      </c>
      <c r="Q12" s="13" t="inlineStr"/>
      <c r="R12" s="13" t="inlineStr"/>
      <c r="S12" s="13" t="inlineStr"/>
    </row>
    <row r="13" ht="17" customHeight="1">
      <c r="A13" s="11" t="n">
        <v>8</v>
      </c>
      <c r="B13" s="11" t="inlineStr">
        <is>
          <t>6/8(월)</t>
        </is>
      </c>
      <c r="C13" s="11" t="inlineStr"/>
      <c r="D13" s="11" t="inlineStr"/>
      <c r="E13" s="11" t="inlineStr"/>
      <c r="F13" s="11" t="inlineStr"/>
      <c r="G13" s="9" t="inlineStr"/>
      <c r="H13" s="9" t="inlineStr"/>
      <c r="I13" s="11" t="inlineStr"/>
      <c r="J13" s="11" t="inlineStr"/>
      <c r="K13" s="12">
        <f>IF(AND(ISNUMBER(I13),ISNUMBER(J13)),J13-I13,"")</f>
        <v/>
      </c>
      <c r="L13" s="9" t="inlineStr"/>
      <c r="M13" s="9" t="inlineStr"/>
      <c r="N13" s="12">
        <f>IF(L13="출퇴근",K13,"")</f>
        <v/>
      </c>
      <c r="O13" s="12">
        <f>IF(L13="업무",K13,"")</f>
        <v/>
      </c>
      <c r="P13" s="12">
        <f>IF(L13="개인사용",K13,"")</f>
        <v/>
      </c>
      <c r="Q13" s="11" t="inlineStr"/>
      <c r="R13" s="11" t="inlineStr"/>
      <c r="S13" s="11" t="inlineStr"/>
    </row>
    <row r="14" ht="17" customHeight="1">
      <c r="A14" s="8" t="n">
        <v>9</v>
      </c>
      <c r="B14" s="8" t="inlineStr">
        <is>
          <t>6/9(화)</t>
        </is>
      </c>
      <c r="C14" s="8" t="inlineStr">
        <is>
          <t>09:00</t>
        </is>
      </c>
      <c r="D14" s="8" t="inlineStr">
        <is>
          <t>11:30</t>
        </is>
      </c>
      <c r="E14" s="8" t="inlineStr">
        <is>
          <t>영업팀</t>
        </is>
      </c>
      <c r="F14" s="8" t="inlineStr">
        <is>
          <t>김철수</t>
        </is>
      </c>
      <c r="G14" s="9" t="inlineStr">
        <is>
          <t>사무실</t>
        </is>
      </c>
      <c r="H14" s="9" t="inlineStr">
        <is>
          <t>거래처B</t>
        </is>
      </c>
      <c r="I14" s="8" t="n">
        <v>78100</v>
      </c>
      <c r="J14" s="8" t="n">
        <v>78145</v>
      </c>
      <c r="K14" s="10">
        <f>IF(AND(ISNUMBER(I14),ISNUMBER(J14)),J14-I14,"")</f>
        <v/>
      </c>
      <c r="L14" s="9" t="inlineStr">
        <is>
          <t>업무</t>
        </is>
      </c>
      <c r="M14" s="9" t="inlineStr">
        <is>
          <t>부품 납품</t>
        </is>
      </c>
      <c r="N14" s="10">
        <f>IF(L14="출퇴근",K14,"")</f>
        <v/>
      </c>
      <c r="O14" s="10">
        <f>IF(L14="업무",K14,"")</f>
        <v/>
      </c>
      <c r="P14" s="10">
        <f>IF(L14="개인사용",K14,"")</f>
        <v/>
      </c>
      <c r="Q14" s="8" t="n">
        <v>1200</v>
      </c>
      <c r="R14" s="8" t="inlineStr"/>
      <c r="S14" s="8" t="inlineStr"/>
    </row>
    <row r="15" ht="17" customHeight="1">
      <c r="A15" s="11" t="n">
        <v>10</v>
      </c>
      <c r="B15" s="11" t="inlineStr">
        <is>
          <t>6/10(수)</t>
        </is>
      </c>
      <c r="C15" s="11" t="inlineStr"/>
      <c r="D15" s="11" t="inlineStr"/>
      <c r="E15" s="11" t="inlineStr"/>
      <c r="F15" s="11" t="inlineStr"/>
      <c r="G15" s="9" t="inlineStr"/>
      <c r="H15" s="9" t="inlineStr"/>
      <c r="I15" s="11" t="inlineStr"/>
      <c r="J15" s="11" t="inlineStr"/>
      <c r="K15" s="12">
        <f>IF(AND(ISNUMBER(I15),ISNUMBER(J15)),J15-I15,"")</f>
        <v/>
      </c>
      <c r="L15" s="9" t="inlineStr"/>
      <c r="M15" s="9" t="inlineStr"/>
      <c r="N15" s="12">
        <f>IF(L15="출퇴근",K15,"")</f>
        <v/>
      </c>
      <c r="O15" s="12">
        <f>IF(L15="업무",K15,"")</f>
        <v/>
      </c>
      <c r="P15" s="12">
        <f>IF(L15="개인사용",K15,"")</f>
        <v/>
      </c>
      <c r="Q15" s="11" t="inlineStr"/>
      <c r="R15" s="11" t="inlineStr"/>
      <c r="S15" s="11" t="inlineStr"/>
    </row>
    <row r="16" ht="17" customHeight="1">
      <c r="A16" s="8" t="n">
        <v>11</v>
      </c>
      <c r="B16" s="8" t="inlineStr">
        <is>
          <t>6/11(목)</t>
        </is>
      </c>
      <c r="C16" s="8" t="inlineStr"/>
      <c r="D16" s="8" t="inlineStr"/>
      <c r="E16" s="8" t="inlineStr"/>
      <c r="F16" s="8" t="inlineStr"/>
      <c r="G16" s="9" t="inlineStr"/>
      <c r="H16" s="9" t="inlineStr"/>
      <c r="I16" s="8" t="inlineStr"/>
      <c r="J16" s="8" t="inlineStr"/>
      <c r="K16" s="10">
        <f>IF(AND(ISNUMBER(I16),ISNUMBER(J16)),J16-I16,"")</f>
        <v/>
      </c>
      <c r="L16" s="9" t="inlineStr"/>
      <c r="M16" s="9" t="inlineStr"/>
      <c r="N16" s="10">
        <f>IF(L16="출퇴근",K16,"")</f>
        <v/>
      </c>
      <c r="O16" s="10">
        <f>IF(L16="업무",K16,"")</f>
        <v/>
      </c>
      <c r="P16" s="10">
        <f>IF(L16="개인사용",K16,"")</f>
        <v/>
      </c>
      <c r="Q16" s="8" t="inlineStr"/>
      <c r="R16" s="8" t="inlineStr"/>
      <c r="S16" s="8" t="inlineStr"/>
    </row>
    <row r="17" ht="17" customHeight="1">
      <c r="A17" s="11" t="n">
        <v>12</v>
      </c>
      <c r="B17" s="11" t="inlineStr">
        <is>
          <t>6/12(금)</t>
        </is>
      </c>
      <c r="C17" s="11" t="inlineStr"/>
      <c r="D17" s="11" t="inlineStr"/>
      <c r="E17" s="11" t="inlineStr"/>
      <c r="F17" s="11" t="inlineStr"/>
      <c r="G17" s="9" t="inlineStr"/>
      <c r="H17" s="9" t="inlineStr"/>
      <c r="I17" s="11" t="inlineStr"/>
      <c r="J17" s="11" t="inlineStr"/>
      <c r="K17" s="12">
        <f>IF(AND(ISNUMBER(I17),ISNUMBER(J17)),J17-I17,"")</f>
        <v/>
      </c>
      <c r="L17" s="9" t="inlineStr"/>
      <c r="M17" s="9" t="inlineStr"/>
      <c r="N17" s="12">
        <f>IF(L17="출퇴근",K17,"")</f>
        <v/>
      </c>
      <c r="O17" s="12">
        <f>IF(L17="업무",K17,"")</f>
        <v/>
      </c>
      <c r="P17" s="12">
        <f>IF(L17="개인사용",K17,"")</f>
        <v/>
      </c>
      <c r="Q17" s="11" t="inlineStr"/>
      <c r="R17" s="11" t="inlineStr"/>
      <c r="S17" s="11" t="inlineStr"/>
    </row>
    <row r="18" ht="17" customHeight="1">
      <c r="A18" s="13" t="n">
        <v>13</v>
      </c>
      <c r="B18" s="13" t="inlineStr">
        <is>
          <t>6/13(토)</t>
        </is>
      </c>
      <c r="C18" s="13" t="inlineStr"/>
      <c r="D18" s="13" t="inlineStr"/>
      <c r="E18" s="13" t="inlineStr"/>
      <c r="F18" s="13" t="inlineStr"/>
      <c r="G18" s="14" t="inlineStr"/>
      <c r="H18" s="14" t="inlineStr"/>
      <c r="I18" s="13" t="inlineStr"/>
      <c r="J18" s="13" t="inlineStr"/>
      <c r="K18" s="15">
        <f>IF(AND(ISNUMBER(I18),ISNUMBER(J18)),J18-I18,"")</f>
        <v/>
      </c>
      <c r="L18" s="14" t="inlineStr"/>
      <c r="M18" s="14" t="inlineStr"/>
      <c r="N18" s="15">
        <f>IF(L18="출퇴근",K18,"")</f>
        <v/>
      </c>
      <c r="O18" s="15">
        <f>IF(L18="업무",K18,"")</f>
        <v/>
      </c>
      <c r="P18" s="15">
        <f>IF(L18="개인사용",K18,"")</f>
        <v/>
      </c>
      <c r="Q18" s="13" t="inlineStr"/>
      <c r="R18" s="13" t="inlineStr"/>
      <c r="S18" s="13" t="inlineStr"/>
    </row>
    <row r="19" ht="17" customHeight="1">
      <c r="A19" s="13" t="n">
        <v>14</v>
      </c>
      <c r="B19" s="13" t="inlineStr">
        <is>
          <t>6/14(일)</t>
        </is>
      </c>
      <c r="C19" s="13" t="inlineStr"/>
      <c r="D19" s="13" t="inlineStr"/>
      <c r="E19" s="13" t="inlineStr"/>
      <c r="F19" s="13" t="inlineStr"/>
      <c r="G19" s="14" t="inlineStr"/>
      <c r="H19" s="14" t="inlineStr"/>
      <c r="I19" s="13" t="inlineStr"/>
      <c r="J19" s="13" t="inlineStr"/>
      <c r="K19" s="15">
        <f>IF(AND(ISNUMBER(I19),ISNUMBER(J19)),J19-I19,"")</f>
        <v/>
      </c>
      <c r="L19" s="14" t="inlineStr"/>
      <c r="M19" s="14" t="inlineStr"/>
      <c r="N19" s="15">
        <f>IF(L19="출퇴근",K19,"")</f>
        <v/>
      </c>
      <c r="O19" s="15">
        <f>IF(L19="업무",K19,"")</f>
        <v/>
      </c>
      <c r="P19" s="15">
        <f>IF(L19="개인사용",K19,"")</f>
        <v/>
      </c>
      <c r="Q19" s="13" t="inlineStr"/>
      <c r="R19" s="13" t="inlineStr"/>
      <c r="S19" s="13" t="inlineStr"/>
    </row>
    <row r="20" ht="17" customHeight="1">
      <c r="A20" s="8" t="n">
        <v>15</v>
      </c>
      <c r="B20" s="8" t="inlineStr">
        <is>
          <t>6/15(월)</t>
        </is>
      </c>
      <c r="C20" s="8" t="inlineStr"/>
      <c r="D20" s="8" t="inlineStr"/>
      <c r="E20" s="8" t="inlineStr"/>
      <c r="F20" s="8" t="inlineStr"/>
      <c r="G20" s="9" t="inlineStr"/>
      <c r="H20" s="9" t="inlineStr"/>
      <c r="I20" s="8" t="inlineStr"/>
      <c r="J20" s="8" t="inlineStr"/>
      <c r="K20" s="10">
        <f>IF(AND(ISNUMBER(I20),ISNUMBER(J20)),J20-I20,"")</f>
        <v/>
      </c>
      <c r="L20" s="9" t="inlineStr"/>
      <c r="M20" s="9" t="inlineStr"/>
      <c r="N20" s="10">
        <f>IF(L20="출퇴근",K20,"")</f>
        <v/>
      </c>
      <c r="O20" s="10">
        <f>IF(L20="업무",K20,"")</f>
        <v/>
      </c>
      <c r="P20" s="10">
        <f>IF(L20="개인사용",K20,"")</f>
        <v/>
      </c>
      <c r="Q20" s="8" t="inlineStr"/>
      <c r="R20" s="8" t="inlineStr"/>
      <c r="S20" s="8" t="inlineStr"/>
    </row>
    <row r="21" ht="17" customHeight="1">
      <c r="A21" s="11" t="n">
        <v>16</v>
      </c>
      <c r="B21" s="11" t="inlineStr">
        <is>
          <t>6/16(화)</t>
        </is>
      </c>
      <c r="C21" s="11" t="inlineStr"/>
      <c r="D21" s="11" t="inlineStr"/>
      <c r="E21" s="11" t="inlineStr"/>
      <c r="F21" s="11" t="inlineStr"/>
      <c r="G21" s="9" t="inlineStr"/>
      <c r="H21" s="9" t="inlineStr"/>
      <c r="I21" s="11" t="inlineStr"/>
      <c r="J21" s="11" t="inlineStr"/>
      <c r="K21" s="12">
        <f>IF(AND(ISNUMBER(I21),ISNUMBER(J21)),J21-I21,"")</f>
        <v/>
      </c>
      <c r="L21" s="9" t="inlineStr"/>
      <c r="M21" s="9" t="inlineStr"/>
      <c r="N21" s="12">
        <f>IF(L21="출퇴근",K21,"")</f>
        <v/>
      </c>
      <c r="O21" s="12">
        <f>IF(L21="업무",K21,"")</f>
        <v/>
      </c>
      <c r="P21" s="12">
        <f>IF(L21="개인사용",K21,"")</f>
        <v/>
      </c>
      <c r="Q21" s="11" t="inlineStr"/>
      <c r="R21" s="11" t="inlineStr"/>
      <c r="S21" s="11" t="inlineStr"/>
    </row>
    <row r="22" ht="17" customHeight="1">
      <c r="A22" s="8" t="n">
        <v>17</v>
      </c>
      <c r="B22" s="8" t="inlineStr">
        <is>
          <t>6/17(수)</t>
        </is>
      </c>
      <c r="C22" s="8" t="inlineStr"/>
      <c r="D22" s="8" t="inlineStr"/>
      <c r="E22" s="8" t="inlineStr"/>
      <c r="F22" s="8" t="inlineStr"/>
      <c r="G22" s="9" t="inlineStr"/>
      <c r="H22" s="9" t="inlineStr"/>
      <c r="I22" s="8" t="inlineStr"/>
      <c r="J22" s="8" t="inlineStr"/>
      <c r="K22" s="10">
        <f>IF(AND(ISNUMBER(I22),ISNUMBER(J22)),J22-I22,"")</f>
        <v/>
      </c>
      <c r="L22" s="9" t="inlineStr"/>
      <c r="M22" s="9" t="inlineStr"/>
      <c r="N22" s="10">
        <f>IF(L22="출퇴근",K22,"")</f>
        <v/>
      </c>
      <c r="O22" s="10">
        <f>IF(L22="업무",K22,"")</f>
        <v/>
      </c>
      <c r="P22" s="10">
        <f>IF(L22="개인사용",K22,"")</f>
        <v/>
      </c>
      <c r="Q22" s="8" t="inlineStr"/>
      <c r="R22" s="8" t="inlineStr"/>
      <c r="S22" s="8" t="inlineStr"/>
    </row>
    <row r="23" ht="17" customHeight="1">
      <c r="A23" s="11" t="n">
        <v>18</v>
      </c>
      <c r="B23" s="11" t="inlineStr">
        <is>
          <t>6/18(목)</t>
        </is>
      </c>
      <c r="C23" s="11" t="inlineStr"/>
      <c r="D23" s="11" t="inlineStr"/>
      <c r="E23" s="11" t="inlineStr"/>
      <c r="F23" s="11" t="inlineStr"/>
      <c r="G23" s="9" t="inlineStr"/>
      <c r="H23" s="9" t="inlineStr"/>
      <c r="I23" s="11" t="inlineStr"/>
      <c r="J23" s="11" t="inlineStr"/>
      <c r="K23" s="12">
        <f>IF(AND(ISNUMBER(I23),ISNUMBER(J23)),J23-I23,"")</f>
        <v/>
      </c>
      <c r="L23" s="9" t="inlineStr"/>
      <c r="M23" s="9" t="inlineStr"/>
      <c r="N23" s="12">
        <f>IF(L23="출퇴근",K23,"")</f>
        <v/>
      </c>
      <c r="O23" s="12">
        <f>IF(L23="업무",K23,"")</f>
        <v/>
      </c>
      <c r="P23" s="12">
        <f>IF(L23="개인사용",K23,"")</f>
        <v/>
      </c>
      <c r="Q23" s="11" t="inlineStr"/>
      <c r="R23" s="11" t="inlineStr"/>
      <c r="S23" s="11" t="inlineStr"/>
    </row>
    <row r="24" ht="17" customHeight="1">
      <c r="A24" s="8" t="n">
        <v>19</v>
      </c>
      <c r="B24" s="8" t="inlineStr">
        <is>
          <t>6/19(금)</t>
        </is>
      </c>
      <c r="C24" s="8" t="inlineStr"/>
      <c r="D24" s="8" t="inlineStr"/>
      <c r="E24" s="8" t="inlineStr"/>
      <c r="F24" s="8" t="inlineStr"/>
      <c r="G24" s="9" t="inlineStr"/>
      <c r="H24" s="9" t="inlineStr"/>
      <c r="I24" s="8" t="inlineStr"/>
      <c r="J24" s="8" t="inlineStr"/>
      <c r="K24" s="10">
        <f>IF(AND(ISNUMBER(I24),ISNUMBER(J24)),J24-I24,"")</f>
        <v/>
      </c>
      <c r="L24" s="9" t="inlineStr"/>
      <c r="M24" s="9" t="inlineStr"/>
      <c r="N24" s="10">
        <f>IF(L24="출퇴근",K24,"")</f>
        <v/>
      </c>
      <c r="O24" s="10">
        <f>IF(L24="업무",K24,"")</f>
        <v/>
      </c>
      <c r="P24" s="10">
        <f>IF(L24="개인사용",K24,"")</f>
        <v/>
      </c>
      <c r="Q24" s="8" t="inlineStr"/>
      <c r="R24" s="8" t="inlineStr"/>
      <c r="S24" s="8" t="inlineStr"/>
    </row>
    <row r="25" ht="17" customHeight="1">
      <c r="A25" s="13" t="n">
        <v>20</v>
      </c>
      <c r="B25" s="13" t="inlineStr">
        <is>
          <t>6/20(토)</t>
        </is>
      </c>
      <c r="C25" s="13" t="inlineStr"/>
      <c r="D25" s="13" t="inlineStr"/>
      <c r="E25" s="13" t="inlineStr"/>
      <c r="F25" s="13" t="inlineStr"/>
      <c r="G25" s="14" t="inlineStr"/>
      <c r="H25" s="14" t="inlineStr"/>
      <c r="I25" s="13" t="inlineStr"/>
      <c r="J25" s="13" t="inlineStr"/>
      <c r="K25" s="15">
        <f>IF(AND(ISNUMBER(I25),ISNUMBER(J25)),J25-I25,"")</f>
        <v/>
      </c>
      <c r="L25" s="14" t="inlineStr"/>
      <c r="M25" s="14" t="inlineStr"/>
      <c r="N25" s="15">
        <f>IF(L25="출퇴근",K25,"")</f>
        <v/>
      </c>
      <c r="O25" s="15">
        <f>IF(L25="업무",K25,"")</f>
        <v/>
      </c>
      <c r="P25" s="15">
        <f>IF(L25="개인사용",K25,"")</f>
        <v/>
      </c>
      <c r="Q25" s="13" t="inlineStr"/>
      <c r="R25" s="13" t="inlineStr"/>
      <c r="S25" s="13" t="inlineStr"/>
    </row>
    <row r="26" ht="17" customHeight="1">
      <c r="A26" s="13" t="n">
        <v>21</v>
      </c>
      <c r="B26" s="13" t="inlineStr">
        <is>
          <t>6/21(일)</t>
        </is>
      </c>
      <c r="C26" s="13" t="inlineStr"/>
      <c r="D26" s="13" t="inlineStr"/>
      <c r="E26" s="13" t="inlineStr"/>
      <c r="F26" s="13" t="inlineStr"/>
      <c r="G26" s="14" t="inlineStr"/>
      <c r="H26" s="14" t="inlineStr"/>
      <c r="I26" s="13" t="inlineStr"/>
      <c r="J26" s="13" t="inlineStr"/>
      <c r="K26" s="15">
        <f>IF(AND(ISNUMBER(I26),ISNUMBER(J26)),J26-I26,"")</f>
        <v/>
      </c>
      <c r="L26" s="14" t="inlineStr"/>
      <c r="M26" s="14" t="inlineStr"/>
      <c r="N26" s="15">
        <f>IF(L26="출퇴근",K26,"")</f>
        <v/>
      </c>
      <c r="O26" s="15">
        <f>IF(L26="업무",K26,"")</f>
        <v/>
      </c>
      <c r="P26" s="15">
        <f>IF(L26="개인사용",K26,"")</f>
        <v/>
      </c>
      <c r="Q26" s="13" t="inlineStr"/>
      <c r="R26" s="13" t="inlineStr"/>
      <c r="S26" s="13" t="inlineStr"/>
    </row>
    <row r="27" ht="17" customHeight="1">
      <c r="A27" s="11" t="n">
        <v>22</v>
      </c>
      <c r="B27" s="11" t="inlineStr">
        <is>
          <t>6/22(월)</t>
        </is>
      </c>
      <c r="C27" s="11" t="inlineStr"/>
      <c r="D27" s="11" t="inlineStr"/>
      <c r="E27" s="11" t="inlineStr"/>
      <c r="F27" s="11" t="inlineStr"/>
      <c r="G27" s="9" t="inlineStr"/>
      <c r="H27" s="9" t="inlineStr"/>
      <c r="I27" s="11" t="inlineStr"/>
      <c r="J27" s="11" t="inlineStr"/>
      <c r="K27" s="12">
        <f>IF(AND(ISNUMBER(I27),ISNUMBER(J27)),J27-I27,"")</f>
        <v/>
      </c>
      <c r="L27" s="9" t="inlineStr"/>
      <c r="M27" s="9" t="inlineStr"/>
      <c r="N27" s="12">
        <f>IF(L27="출퇴근",K27,"")</f>
        <v/>
      </c>
      <c r="O27" s="12">
        <f>IF(L27="업무",K27,"")</f>
        <v/>
      </c>
      <c r="P27" s="12">
        <f>IF(L27="개인사용",K27,"")</f>
        <v/>
      </c>
      <c r="Q27" s="11" t="inlineStr"/>
      <c r="R27" s="11" t="inlineStr"/>
      <c r="S27" s="11" t="inlineStr"/>
    </row>
    <row r="28" ht="17" customHeight="1">
      <c r="A28" s="8" t="n">
        <v>23</v>
      </c>
      <c r="B28" s="8" t="inlineStr">
        <is>
          <t>6/23(화)</t>
        </is>
      </c>
      <c r="C28" s="8" t="inlineStr"/>
      <c r="D28" s="8" t="inlineStr"/>
      <c r="E28" s="8" t="inlineStr"/>
      <c r="F28" s="8" t="inlineStr"/>
      <c r="G28" s="9" t="inlineStr"/>
      <c r="H28" s="9" t="inlineStr"/>
      <c r="I28" s="8" t="inlineStr"/>
      <c r="J28" s="8" t="inlineStr"/>
      <c r="K28" s="10">
        <f>IF(AND(ISNUMBER(I28),ISNUMBER(J28)),J28-I28,"")</f>
        <v/>
      </c>
      <c r="L28" s="9" t="inlineStr"/>
      <c r="M28" s="9" t="inlineStr"/>
      <c r="N28" s="10">
        <f>IF(L28="출퇴근",K28,"")</f>
        <v/>
      </c>
      <c r="O28" s="10">
        <f>IF(L28="업무",K28,"")</f>
        <v/>
      </c>
      <c r="P28" s="10">
        <f>IF(L28="개인사용",K28,"")</f>
        <v/>
      </c>
      <c r="Q28" s="8" t="inlineStr"/>
      <c r="R28" s="8" t="inlineStr"/>
      <c r="S28" s="8" t="inlineStr"/>
    </row>
    <row r="29" ht="17" customHeight="1">
      <c r="A29" s="11" t="n">
        <v>24</v>
      </c>
      <c r="B29" s="11" t="inlineStr">
        <is>
          <t>6/24(수)</t>
        </is>
      </c>
      <c r="C29" s="11" t="inlineStr"/>
      <c r="D29" s="11" t="inlineStr"/>
      <c r="E29" s="11" t="inlineStr"/>
      <c r="F29" s="11" t="inlineStr"/>
      <c r="G29" s="9" t="inlineStr"/>
      <c r="H29" s="9" t="inlineStr"/>
      <c r="I29" s="11" t="inlineStr"/>
      <c r="J29" s="11" t="inlineStr"/>
      <c r="K29" s="12">
        <f>IF(AND(ISNUMBER(I29),ISNUMBER(J29)),J29-I29,"")</f>
        <v/>
      </c>
      <c r="L29" s="9" t="inlineStr"/>
      <c r="M29" s="9" t="inlineStr"/>
      <c r="N29" s="12">
        <f>IF(L29="출퇴근",K29,"")</f>
        <v/>
      </c>
      <c r="O29" s="12">
        <f>IF(L29="업무",K29,"")</f>
        <v/>
      </c>
      <c r="P29" s="12">
        <f>IF(L29="개인사용",K29,"")</f>
        <v/>
      </c>
      <c r="Q29" s="11" t="inlineStr"/>
      <c r="R29" s="11" t="inlineStr"/>
      <c r="S29" s="11" t="inlineStr"/>
    </row>
    <row r="30" ht="17" customHeight="1">
      <c r="A30" s="8" t="n">
        <v>25</v>
      </c>
      <c r="B30" s="8" t="inlineStr">
        <is>
          <t>6/25(목)</t>
        </is>
      </c>
      <c r="C30" s="8" t="inlineStr"/>
      <c r="D30" s="8" t="inlineStr"/>
      <c r="E30" s="8" t="inlineStr"/>
      <c r="F30" s="8" t="inlineStr"/>
      <c r="G30" s="9" t="inlineStr"/>
      <c r="H30" s="9" t="inlineStr"/>
      <c r="I30" s="8" t="inlineStr"/>
      <c r="J30" s="8" t="inlineStr"/>
      <c r="K30" s="10">
        <f>IF(AND(ISNUMBER(I30),ISNUMBER(J30)),J30-I30,"")</f>
        <v/>
      </c>
      <c r="L30" s="9" t="inlineStr"/>
      <c r="M30" s="9" t="inlineStr"/>
      <c r="N30" s="10">
        <f>IF(L30="출퇴근",K30,"")</f>
        <v/>
      </c>
      <c r="O30" s="10">
        <f>IF(L30="업무",K30,"")</f>
        <v/>
      </c>
      <c r="P30" s="10">
        <f>IF(L30="개인사용",K30,"")</f>
        <v/>
      </c>
      <c r="Q30" s="8" t="inlineStr"/>
      <c r="R30" s="8" t="inlineStr"/>
      <c r="S30" s="8" t="inlineStr"/>
    </row>
    <row r="31" ht="17" customHeight="1">
      <c r="A31" s="11" t="n">
        <v>26</v>
      </c>
      <c r="B31" s="11" t="inlineStr">
        <is>
          <t>6/26(금)</t>
        </is>
      </c>
      <c r="C31" s="11" t="inlineStr"/>
      <c r="D31" s="11" t="inlineStr"/>
      <c r="E31" s="11" t="inlineStr"/>
      <c r="F31" s="11" t="inlineStr"/>
      <c r="G31" s="9" t="inlineStr"/>
      <c r="H31" s="9" t="inlineStr"/>
      <c r="I31" s="11" t="inlineStr"/>
      <c r="J31" s="11" t="inlineStr"/>
      <c r="K31" s="12">
        <f>IF(AND(ISNUMBER(I31),ISNUMBER(J31)),J31-I31,"")</f>
        <v/>
      </c>
      <c r="L31" s="9" t="inlineStr"/>
      <c r="M31" s="9" t="inlineStr"/>
      <c r="N31" s="12">
        <f>IF(L31="출퇴근",K31,"")</f>
        <v/>
      </c>
      <c r="O31" s="12">
        <f>IF(L31="업무",K31,"")</f>
        <v/>
      </c>
      <c r="P31" s="12">
        <f>IF(L31="개인사용",K31,"")</f>
        <v/>
      </c>
      <c r="Q31" s="11" t="inlineStr"/>
      <c r="R31" s="11" t="inlineStr"/>
      <c r="S31" s="11" t="inlineStr"/>
    </row>
    <row r="32" ht="17" customHeight="1">
      <c r="A32" s="13" t="n">
        <v>27</v>
      </c>
      <c r="B32" s="13" t="inlineStr">
        <is>
          <t>6/27(토)</t>
        </is>
      </c>
      <c r="C32" s="13" t="inlineStr"/>
      <c r="D32" s="13" t="inlineStr"/>
      <c r="E32" s="13" t="inlineStr"/>
      <c r="F32" s="13" t="inlineStr"/>
      <c r="G32" s="14" t="inlineStr"/>
      <c r="H32" s="14" t="inlineStr"/>
      <c r="I32" s="13" t="inlineStr"/>
      <c r="J32" s="13" t="inlineStr"/>
      <c r="K32" s="15">
        <f>IF(AND(ISNUMBER(I32),ISNUMBER(J32)),J32-I32,"")</f>
        <v/>
      </c>
      <c r="L32" s="14" t="inlineStr"/>
      <c r="M32" s="14" t="inlineStr"/>
      <c r="N32" s="15">
        <f>IF(L32="출퇴근",K32,"")</f>
        <v/>
      </c>
      <c r="O32" s="15">
        <f>IF(L32="업무",K32,"")</f>
        <v/>
      </c>
      <c r="P32" s="15">
        <f>IF(L32="개인사용",K32,"")</f>
        <v/>
      </c>
      <c r="Q32" s="13" t="inlineStr"/>
      <c r="R32" s="13" t="inlineStr"/>
      <c r="S32" s="13" t="inlineStr"/>
    </row>
    <row r="33" ht="17" customHeight="1">
      <c r="A33" s="13" t="n">
        <v>28</v>
      </c>
      <c r="B33" s="13" t="inlineStr">
        <is>
          <t>6/28(일)</t>
        </is>
      </c>
      <c r="C33" s="13" t="inlineStr"/>
      <c r="D33" s="13" t="inlineStr"/>
      <c r="E33" s="13" t="inlineStr"/>
      <c r="F33" s="13" t="inlineStr"/>
      <c r="G33" s="14" t="inlineStr"/>
      <c r="H33" s="14" t="inlineStr"/>
      <c r="I33" s="13" t="inlineStr"/>
      <c r="J33" s="13" t="inlineStr"/>
      <c r="K33" s="15">
        <f>IF(AND(ISNUMBER(I33),ISNUMBER(J33)),J33-I33,"")</f>
        <v/>
      </c>
      <c r="L33" s="14" t="inlineStr"/>
      <c r="M33" s="14" t="inlineStr"/>
      <c r="N33" s="15">
        <f>IF(L33="출퇴근",K33,"")</f>
        <v/>
      </c>
      <c r="O33" s="15">
        <f>IF(L33="업무",K33,"")</f>
        <v/>
      </c>
      <c r="P33" s="15">
        <f>IF(L33="개인사용",K33,"")</f>
        <v/>
      </c>
      <c r="Q33" s="13" t="inlineStr"/>
      <c r="R33" s="13" t="inlineStr"/>
      <c r="S33" s="13" t="inlineStr"/>
    </row>
    <row r="34" ht="17" customHeight="1">
      <c r="A34" s="8" t="n">
        <v>29</v>
      </c>
      <c r="B34" s="8" t="inlineStr">
        <is>
          <t>6/29(월)</t>
        </is>
      </c>
      <c r="C34" s="8" t="inlineStr"/>
      <c r="D34" s="8" t="inlineStr"/>
      <c r="E34" s="8" t="inlineStr"/>
      <c r="F34" s="8" t="inlineStr"/>
      <c r="G34" s="9" t="inlineStr"/>
      <c r="H34" s="9" t="inlineStr"/>
      <c r="I34" s="8" t="inlineStr"/>
      <c r="J34" s="8" t="inlineStr"/>
      <c r="K34" s="10">
        <f>IF(AND(ISNUMBER(I34),ISNUMBER(J34)),J34-I34,"")</f>
        <v/>
      </c>
      <c r="L34" s="9" t="inlineStr"/>
      <c r="M34" s="9" t="inlineStr"/>
      <c r="N34" s="10">
        <f>IF(L34="출퇴근",K34,"")</f>
        <v/>
      </c>
      <c r="O34" s="10">
        <f>IF(L34="업무",K34,"")</f>
        <v/>
      </c>
      <c r="P34" s="10">
        <f>IF(L34="개인사용",K34,"")</f>
        <v/>
      </c>
      <c r="Q34" s="8" t="inlineStr"/>
      <c r="R34" s="8" t="inlineStr"/>
      <c r="S34" s="8" t="inlineStr"/>
    </row>
    <row r="35" ht="17" customHeight="1">
      <c r="A35" s="11" t="n">
        <v>30</v>
      </c>
      <c r="B35" s="11" t="inlineStr">
        <is>
          <t>6/30(화)</t>
        </is>
      </c>
      <c r="C35" s="11" t="inlineStr"/>
      <c r="D35" s="11" t="inlineStr"/>
      <c r="E35" s="11" t="inlineStr"/>
      <c r="F35" s="11" t="inlineStr"/>
      <c r="G35" s="9" t="inlineStr"/>
      <c r="H35" s="9" t="inlineStr"/>
      <c r="I35" s="11" t="inlineStr"/>
      <c r="J35" s="11" t="inlineStr"/>
      <c r="K35" s="12">
        <f>IF(AND(ISNUMBER(I35),ISNUMBER(J35)),J35-I35,"")</f>
        <v/>
      </c>
      <c r="L35" s="9" t="inlineStr"/>
      <c r="M35" s="9" t="inlineStr"/>
      <c r="N35" s="12">
        <f>IF(L35="출퇴근",K35,"")</f>
        <v/>
      </c>
      <c r="O35" s="12">
        <f>IF(L35="업무",K35,"")</f>
        <v/>
      </c>
      <c r="P35" s="12">
        <f>IF(L35="개인사용",K35,"")</f>
        <v/>
      </c>
      <c r="Q35" s="11" t="inlineStr"/>
      <c r="R35" s="11" t="inlineStr"/>
      <c r="S35" s="11" t="inlineStr"/>
    </row>
    <row r="36" ht="17" customHeight="1">
      <c r="A36" s="8" t="n">
        <v>31</v>
      </c>
      <c r="B36" s="8" t="inlineStr">
        <is>
          <t>7/1(수)</t>
        </is>
      </c>
      <c r="C36" s="8" t="inlineStr"/>
      <c r="D36" s="8" t="inlineStr"/>
      <c r="E36" s="8" t="inlineStr"/>
      <c r="F36" s="8" t="inlineStr"/>
      <c r="G36" s="9" t="inlineStr"/>
      <c r="H36" s="9" t="inlineStr"/>
      <c r="I36" s="8" t="inlineStr"/>
      <c r="J36" s="8" t="inlineStr"/>
      <c r="K36" s="10">
        <f>IF(AND(ISNUMBER(I36),ISNUMBER(J36)),J36-I36,"")</f>
        <v/>
      </c>
      <c r="L36" s="9" t="inlineStr"/>
      <c r="M36" s="9" t="inlineStr"/>
      <c r="N36" s="10">
        <f>IF(L36="출퇴근",K36,"")</f>
        <v/>
      </c>
      <c r="O36" s="10">
        <f>IF(L36="업무",K36,"")</f>
        <v/>
      </c>
      <c r="P36" s="10">
        <f>IF(L36="개인사용",K36,"")</f>
        <v/>
      </c>
      <c r="Q36" s="8" t="inlineStr"/>
      <c r="R36" s="8" t="inlineStr"/>
      <c r="S36" s="8" t="inlineStr"/>
    </row>
    <row r="37" ht="18" customHeight="1">
      <c r="A37" s="16" t="inlineStr">
        <is>
          <t>합  계</t>
        </is>
      </c>
      <c r="K37" s="16">
        <f>SUM(K6:K36)</f>
        <v/>
      </c>
      <c r="L37" s="17" t="n"/>
      <c r="M37" s="17" t="n"/>
      <c r="N37" s="16">
        <f>SUM(N6:N36)</f>
        <v/>
      </c>
      <c r="O37" s="16">
        <f>SUM(O6:O36)</f>
        <v/>
      </c>
      <c r="P37" s="16">
        <f>SUM(P6:P36)</f>
        <v/>
      </c>
      <c r="Q37" s="16">
        <f>SUM(Q6:Q36)</f>
        <v/>
      </c>
      <c r="R37" s="16">
        <f>SUM(R6:R36)</f>
        <v/>
      </c>
      <c r="S37" s="17" t="n"/>
    </row>
    <row r="38" ht="18" customHeight="1">
      <c r="A38" s="18" t="inlineStr">
        <is>
          <t>총 주행거리</t>
        </is>
      </c>
      <c r="E38" s="19">
        <f>K37</f>
        <v/>
      </c>
      <c r="F38" s="20" t="inlineStr">
        <is>
          <t>km</t>
        </is>
      </c>
      <c r="G38" s="18" t="inlineStr">
        <is>
          <t>업무용 사용 비율</t>
        </is>
      </c>
      <c r="J38" s="21">
        <f>IF(K37&gt;0,(N37+O37)/K37,"")</f>
        <v/>
      </c>
      <c r="K38" s="22" t="inlineStr">
        <is>
          <t>(출퇴근+업무) ÷ 총 주행거리</t>
        </is>
      </c>
    </row>
  </sheetData>
  <mergeCells count="24">
    <mergeCell ref="G38:I38"/>
    <mergeCell ref="Q3:R3"/>
    <mergeCell ref="A5:S5"/>
    <mergeCell ref="G2:H2"/>
    <mergeCell ref="I2:J2"/>
    <mergeCell ref="A38:D38"/>
    <mergeCell ref="I3:K3"/>
    <mergeCell ref="L2"/>
    <mergeCell ref="G3:H3"/>
    <mergeCell ref="K38:M38"/>
    <mergeCell ref="A2:B2"/>
    <mergeCell ref="C2:D2"/>
    <mergeCell ref="E2:F2"/>
    <mergeCell ref="A1:S1"/>
    <mergeCell ref="M2"/>
    <mergeCell ref="S2"/>
    <mergeCell ref="N2"/>
    <mergeCell ref="O2:P2"/>
    <mergeCell ref="A37:J37"/>
    <mergeCell ref="Q2:R2"/>
    <mergeCell ref="E3:F3"/>
    <mergeCell ref="K2"/>
    <mergeCell ref="C3:D3"/>
    <mergeCell ref="N3:P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2026-06-29T04:28:19Z</dcterms:created>
  <dcterms:modified xmlns:dcterms="http://purl.org/dc/terms/" xmlns:xsi="http://www.w3.org/2001/XMLSchema-instance" xsi:type="dcterms:W3CDTF">2026-06-29T04:28:19Z</dcterms:modified>
</cp:coreProperties>
</file>