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운행기록부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_-;_-@_-"/>
    <numFmt numFmtId="165" formatCode="mm/dd/aaa"/>
    <numFmt numFmtId="166" formatCode="mm&quot;월&quot;\ dd&quot;일&quot;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theme="1"/>
      <sz val="10"/>
      <scheme val="minor"/>
    </font>
    <font>
      <name val="맑은 고딕"/>
      <i val="1"/>
      <color rgb="007B4F00"/>
      <sz val="8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DE7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dotted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dotted">
        <color indexed="64"/>
      </top>
      <bottom style="dotted">
        <color indexed="64"/>
      </bottom>
      <diagonal/>
    </border>
    <border>
      <left style="hair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dotted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hair">
        <color indexed="64"/>
      </right>
      <top style="dotted">
        <color indexed="64"/>
      </top>
      <bottom/>
      <diagonal/>
    </border>
    <border>
      <left/>
      <right style="hair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dotted">
        <color indexed="64"/>
      </top>
      <bottom style="dotted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 style="dotted">
        <color indexed="64"/>
      </bottom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159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14" fontId="3" fillId="3" borderId="2" applyAlignment="1" pivotButton="0" quotePrefix="0" xfId="0">
      <alignment horizontal="center" vertical="center"/>
    </xf>
    <xf numFmtId="14" fontId="3" fillId="3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  <xf numFmtId="14" fontId="5" fillId="4" borderId="2" applyAlignment="1" pivotButton="0" quotePrefix="0" xfId="0">
      <alignment horizontal="center" vertical="center"/>
    </xf>
    <xf numFmtId="14" fontId="5" fillId="4" borderId="3" applyAlignment="1" pivotButton="0" quotePrefix="0" xfId="0">
      <alignment horizontal="center" vertical="center"/>
    </xf>
    <xf numFmtId="14" fontId="5" fillId="2" borderId="2" applyAlignment="1" pivotButton="0" quotePrefix="0" xfId="0">
      <alignment horizontal="center" vertical="center"/>
    </xf>
    <xf numFmtId="14" fontId="5" fillId="2" borderId="3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6" fillId="2" borderId="0" applyAlignment="1" pivotButton="0" quotePrefix="0" xfId="0">
      <alignment vertical="center"/>
    </xf>
    <xf numFmtId="0" fontId="3" fillId="3" borderId="7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4" fontId="0" fillId="2" borderId="0" applyAlignment="1" pivotButton="0" quotePrefix="0" xfId="1">
      <alignment vertical="center"/>
    </xf>
    <xf numFmtId="164" fontId="0" fillId="2" borderId="0" applyAlignment="1" pivotButton="0" quotePrefix="0" xfId="0">
      <alignment vertical="center"/>
    </xf>
    <xf numFmtId="0" fontId="3" fillId="3" borderId="4" applyAlignment="1" pivotButton="0" quotePrefix="0" xfId="0">
      <alignment horizontal="center" vertical="center"/>
    </xf>
    <xf numFmtId="0" fontId="3" fillId="3" borderId="6" applyAlignment="1" pivotButton="0" quotePrefix="0" xfId="0">
      <alignment horizontal="center" vertical="center"/>
    </xf>
    <xf numFmtId="0" fontId="6" fillId="2" borderId="4" applyAlignment="1" pivotButton="0" quotePrefix="0" xfId="0">
      <alignment vertical="center"/>
    </xf>
    <xf numFmtId="0" fontId="0" fillId="2" borderId="5" applyAlignment="1" pivotButton="0" quotePrefix="0" xfId="0">
      <alignment vertical="center"/>
    </xf>
    <xf numFmtId="0" fontId="0" fillId="2" borderId="6" applyAlignment="1" pivotButton="0" quotePrefix="0" xfId="0">
      <alignment vertical="center"/>
    </xf>
    <xf numFmtId="0" fontId="3" fillId="3" borderId="11" applyAlignment="1" pivotButton="0" quotePrefix="0" xfId="0">
      <alignment horizontal="center" vertical="center"/>
    </xf>
    <xf numFmtId="0" fontId="3" fillId="3" borderId="12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6" fillId="2" borderId="1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center"/>
    </xf>
    <xf numFmtId="0" fontId="3" fillId="3" borderId="8" applyAlignment="1" pivotButton="0" quotePrefix="0" xfId="0">
      <alignment horizontal="center" vertical="center"/>
    </xf>
    <xf numFmtId="0" fontId="3" fillId="3" borderId="10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0" fillId="2" borderId="11" applyAlignment="1" pivotButton="0" quotePrefix="0" xfId="0">
      <alignment vertical="center"/>
    </xf>
    <xf numFmtId="0" fontId="0" fillId="2" borderId="12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165" fontId="7" fillId="2" borderId="1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0" fontId="7" fillId="4" borderId="14" applyAlignment="1" pivotButton="0" quotePrefix="0" xfId="0">
      <alignment horizontal="center" vertical="center"/>
    </xf>
    <xf numFmtId="0" fontId="7" fillId="4" borderId="15" applyAlignment="1" pivotButton="0" quotePrefix="0" xfId="0">
      <alignment horizontal="center" vertical="center"/>
    </xf>
    <xf numFmtId="164" fontId="7" fillId="4" borderId="13" applyAlignment="1" pivotButton="0" quotePrefix="0" xfId="1">
      <alignment horizontal="center" vertical="center"/>
    </xf>
    <xf numFmtId="164" fontId="7" fillId="4" borderId="14" applyAlignment="1" pivotButton="0" quotePrefix="0" xfId="1">
      <alignment horizontal="center" vertical="center"/>
    </xf>
    <xf numFmtId="164" fontId="7" fillId="2" borderId="14" applyAlignment="1" pivotButton="0" quotePrefix="0" xfId="1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5" applyAlignment="1" pivotButton="0" quotePrefix="0" xfId="0">
      <alignment horizontal="center" vertical="center"/>
    </xf>
    <xf numFmtId="164" fontId="7" fillId="2" borderId="16" applyAlignment="1" pivotButton="0" quotePrefix="0" xfId="1">
      <alignment horizontal="center" vertical="center"/>
    </xf>
    <xf numFmtId="0" fontId="0" fillId="2" borderId="11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left" vertical="center" indent="1"/>
    </xf>
    <xf numFmtId="0" fontId="0" fillId="2" borderId="12" applyAlignment="1" pivotButton="0" quotePrefix="0" xfId="0">
      <alignment horizontal="left" vertical="center" indent="1"/>
    </xf>
    <xf numFmtId="165" fontId="7" fillId="0" borderId="1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8" applyAlignment="1" pivotButton="0" quotePrefix="0" xfId="0">
      <alignment horizontal="center" vertical="center"/>
    </xf>
    <xf numFmtId="164" fontId="7" fillId="2" borderId="17" applyAlignment="1" pivotButton="0" quotePrefix="0" xfId="1">
      <alignment horizontal="center" vertical="center"/>
    </xf>
    <xf numFmtId="164" fontId="7" fillId="2" borderId="18" applyAlignment="1" pivotButton="0" quotePrefix="0" xfId="1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2" borderId="22" applyAlignment="1" pivotButton="0" quotePrefix="0" xfId="1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0" fontId="7" fillId="0" borderId="13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5" fontId="7" fillId="5" borderId="1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0" fillId="2" borderId="11" applyAlignment="1" pivotButton="0" quotePrefix="0" xfId="0">
      <alignment horizontal="left" vertical="center" wrapText="1" indent="1"/>
    </xf>
    <xf numFmtId="0" fontId="0" fillId="2" borderId="0" applyAlignment="1" pivotButton="0" quotePrefix="0" xfId="0">
      <alignment horizontal="left" vertical="center" wrapText="1" indent="1"/>
    </xf>
    <xf numFmtId="0" fontId="0" fillId="2" borderId="12" applyAlignment="1" pivotButton="0" quotePrefix="0" xfId="0">
      <alignment horizontal="left" vertical="center" wrapText="1" indent="1"/>
    </xf>
    <xf numFmtId="0" fontId="7" fillId="0" borderId="1" applyAlignment="1" pivotButton="0" quotePrefix="0" xfId="0">
      <alignment horizontal="center" vertical="center"/>
    </xf>
    <xf numFmtId="164" fontId="7" fillId="0" borderId="17" applyAlignment="1" pivotButton="0" quotePrefix="0" xfId="1">
      <alignment horizontal="center" vertical="center"/>
    </xf>
    <xf numFmtId="164" fontId="7" fillId="0" borderId="18" applyAlignment="1" pivotButton="0" quotePrefix="0" xfId="1">
      <alignment horizontal="center" vertical="center"/>
    </xf>
    <xf numFmtId="0" fontId="7" fillId="0" borderId="19" applyAlignment="1" pivotButton="0" quotePrefix="0" xfId="0">
      <alignment horizontal="center" vertical="center"/>
    </xf>
    <xf numFmtId="164" fontId="7" fillId="0" borderId="22" applyAlignment="1" pivotButton="0" quotePrefix="0" xfId="1">
      <alignment horizontal="center" vertical="center"/>
    </xf>
    <xf numFmtId="0" fontId="0" fillId="0" borderId="11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center" indent="1"/>
    </xf>
    <xf numFmtId="0" fontId="0" fillId="0" borderId="12" applyAlignment="1" pivotButton="0" quotePrefix="0" xfId="0">
      <alignment horizontal="left" vertical="center" indent="1"/>
    </xf>
    <xf numFmtId="0" fontId="0" fillId="2" borderId="11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2" borderId="12" applyAlignment="1" pivotButton="0" quotePrefix="0" xfId="0">
      <alignment vertical="center" wrapText="1"/>
    </xf>
    <xf numFmtId="164" fontId="7" fillId="2" borderId="25" applyAlignment="1" pivotButton="0" quotePrefix="0" xfId="1">
      <alignment horizontal="center" vertical="center"/>
    </xf>
    <xf numFmtId="164" fontId="7" fillId="2" borderId="26" applyAlignment="1" pivotButton="0" quotePrefix="0" xfId="1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7" fillId="2" borderId="27" applyAlignment="1" pivotButton="0" quotePrefix="0" xfId="0">
      <alignment horizontal="center" vertical="center"/>
    </xf>
    <xf numFmtId="0" fontId="7" fillId="2" borderId="25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7" fillId="0" borderId="29" applyAlignment="1" pivotButton="0" quotePrefix="0" xfId="0">
      <alignment horizontal="center" vertical="center"/>
    </xf>
    <xf numFmtId="164" fontId="7" fillId="2" borderId="30" applyAlignment="1" pivotButton="0" quotePrefix="0" xfId="1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 vertical="center"/>
    </xf>
    <xf numFmtId="0" fontId="3" fillId="2" borderId="6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166" fontId="0" fillId="2" borderId="0" applyAlignment="1" pivotButton="0" quotePrefix="0" xfId="0">
      <alignment vertical="center"/>
    </xf>
    <xf numFmtId="164" fontId="3" fillId="2" borderId="1" applyAlignment="1" pivotButton="0" quotePrefix="0" xfId="1">
      <alignment horizontal="center" vertical="center"/>
    </xf>
    <xf numFmtId="164" fontId="5" fillId="2" borderId="8" applyAlignment="1" pivotButton="0" quotePrefix="0" xfId="1">
      <alignment horizontal="center" vertical="center"/>
    </xf>
    <xf numFmtId="164" fontId="5" fillId="2" borderId="10" applyAlignment="1" pivotButton="0" quotePrefix="0" xfId="1">
      <alignment horizontal="center" vertical="center"/>
    </xf>
    <xf numFmtId="9" fontId="7" fillId="2" borderId="2" applyAlignment="1" pivotButton="0" quotePrefix="0" xfId="2">
      <alignment horizontal="center" vertical="center"/>
    </xf>
    <xf numFmtId="9" fontId="7" fillId="2" borderId="7" applyAlignment="1" pivotButton="0" quotePrefix="0" xfId="2">
      <alignment horizontal="center" vertical="center"/>
    </xf>
    <xf numFmtId="9" fontId="7" fillId="2" borderId="3" applyAlignment="1" pivotButton="0" quotePrefix="0" xfId="2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14" fontId="3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0" pivotButton="0" quotePrefix="0" xfId="0"/>
    <xf numFmtId="14" fontId="5" fillId="4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0" fontId="0" fillId="0" borderId="9" pivotButton="0" quotePrefix="0" xfId="0"/>
    <xf numFmtId="164" fontId="0" fillId="2" borderId="0" applyAlignment="1" pivotButton="0" quotePrefix="0" xfId="1">
      <alignment vertical="center"/>
    </xf>
    <xf numFmtId="164" fontId="0" fillId="2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0" fontId="6" fillId="2" borderId="37" applyAlignment="1" pivotButton="0" quotePrefix="0" xfId="0">
      <alignment horizontal="center" vertical="center"/>
    </xf>
    <xf numFmtId="165" fontId="7" fillId="2" borderId="1" applyAlignment="1" pivotButton="0" quotePrefix="0" xfId="0">
      <alignment horizontal="center" vertical="center"/>
    </xf>
    <xf numFmtId="0" fontId="0" fillId="0" borderId="16" pivotButton="0" quotePrefix="0" xfId="0"/>
    <xf numFmtId="164" fontId="7" fillId="4" borderId="13" applyAlignment="1" pivotButton="0" quotePrefix="0" xfId="1">
      <alignment horizontal="center" vertical="center"/>
    </xf>
    <xf numFmtId="164" fontId="7" fillId="2" borderId="14" applyAlignment="1" pivotButton="0" quotePrefix="0" xfId="1">
      <alignment horizontal="center" vertical="center"/>
    </xf>
    <xf numFmtId="164" fontId="7" fillId="2" borderId="16" applyAlignment="1" pivotButton="0" quotePrefix="0" xfId="1">
      <alignment horizontal="center" vertical="center"/>
    </xf>
    <xf numFmtId="0" fontId="0" fillId="2" borderId="37" applyAlignment="1" pivotButton="0" quotePrefix="0" xfId="0">
      <alignment horizontal="left" vertical="center" indent="1"/>
    </xf>
    <xf numFmtId="165" fontId="7" fillId="0" borderId="1" applyAlignment="1" pivotButton="0" quotePrefix="0" xfId="0">
      <alignment horizontal="center" vertical="center"/>
    </xf>
    <xf numFmtId="0" fontId="0" fillId="0" borderId="22" pivotButton="0" quotePrefix="0" xfId="0"/>
    <xf numFmtId="164" fontId="7" fillId="2" borderId="17" applyAlignment="1" pivotButton="0" quotePrefix="0" xfId="1">
      <alignment horizontal="center" vertical="center"/>
    </xf>
    <xf numFmtId="164" fontId="7" fillId="2" borderId="18" applyAlignment="1" pivotButton="0" quotePrefix="0" xfId="1">
      <alignment horizontal="center" vertical="center"/>
    </xf>
    <xf numFmtId="0" fontId="0" fillId="0" borderId="41" pivotButton="0" quotePrefix="0" xfId="0"/>
    <xf numFmtId="164" fontId="7" fillId="2" borderId="22" applyAlignment="1" pivotButton="0" quotePrefix="0" xfId="1">
      <alignment horizontal="center" vertical="center"/>
    </xf>
    <xf numFmtId="0" fontId="0" fillId="0" borderId="39" pivotButton="0" quotePrefix="0" xfId="0"/>
    <xf numFmtId="165" fontId="7" fillId="5" borderId="1" applyAlignment="1" pivotButton="0" quotePrefix="0" xfId="0">
      <alignment horizontal="center" vertical="center"/>
    </xf>
    <xf numFmtId="0" fontId="0" fillId="2" borderId="37" applyAlignment="1" pivotButton="0" quotePrefix="0" xfId="0">
      <alignment horizontal="left" vertical="center" wrapText="1" indent="1"/>
    </xf>
    <xf numFmtId="164" fontId="7" fillId="0" borderId="17" applyAlignment="1" pivotButton="0" quotePrefix="0" xfId="1">
      <alignment horizontal="center" vertical="center"/>
    </xf>
    <xf numFmtId="164" fontId="7" fillId="0" borderId="18" applyAlignment="1" pivotButton="0" quotePrefix="0" xfId="1">
      <alignment horizontal="center" vertical="center"/>
    </xf>
    <xf numFmtId="164" fontId="7" fillId="0" borderId="22" applyAlignment="1" pivotButton="0" quotePrefix="0" xfId="1">
      <alignment horizontal="center" vertical="center"/>
    </xf>
    <xf numFmtId="0" fontId="0" fillId="0" borderId="37" applyAlignment="1" pivotButton="0" quotePrefix="0" xfId="0">
      <alignment horizontal="left" vertical="center" indent="1"/>
    </xf>
    <xf numFmtId="164" fontId="7" fillId="2" borderId="25" applyAlignment="1" pivotButton="0" quotePrefix="0" xfId="1">
      <alignment horizontal="center" vertical="center"/>
    </xf>
    <xf numFmtId="0" fontId="0" fillId="0" borderId="30" pivotButton="0" quotePrefix="0" xfId="0"/>
    <xf numFmtId="164" fontId="7" fillId="2" borderId="26" applyAlignment="1" pivotButton="0" quotePrefix="0" xfId="1">
      <alignment horizontal="center" vertical="center"/>
    </xf>
    <xf numFmtId="0" fontId="0" fillId="0" borderId="36" pivotButton="0" quotePrefix="0" xfId="0"/>
    <xf numFmtId="164" fontId="7" fillId="2" borderId="30" applyAlignment="1" pivotButton="0" quotePrefix="0" xfId="1">
      <alignment horizontal="center" vertical="center"/>
    </xf>
    <xf numFmtId="0" fontId="3" fillId="2" borderId="38" applyAlignment="1" pivotButton="0" quotePrefix="0" xfId="0">
      <alignment horizontal="center" vertical="center"/>
    </xf>
    <xf numFmtId="166" fontId="0" fillId="2" borderId="0" applyAlignment="1" pivotButton="0" quotePrefix="0" xfId="0">
      <alignment vertical="center"/>
    </xf>
    <xf numFmtId="164" fontId="3" fillId="2" borderId="1" applyAlignment="1" pivotButton="0" quotePrefix="0" xfId="1">
      <alignment horizontal="center" vertical="center"/>
    </xf>
    <xf numFmtId="164" fontId="5" fillId="2" borderId="31" applyAlignment="1" pivotButton="0" quotePrefix="0" xfId="1">
      <alignment horizontal="center" vertical="center"/>
    </xf>
    <xf numFmtId="9" fontId="7" fillId="2" borderId="1" applyAlignment="1" pivotButton="0" quotePrefix="0" xfId="2">
      <alignment horizontal="center" vertical="center"/>
    </xf>
    <xf numFmtId="0" fontId="0" fillId="2" borderId="31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</cellXfs>
  <cellStyles count="3">
    <cellStyle name="표준" xfId="0" builtinId="0"/>
    <cellStyle name="쉼표 [0]" xfId="1" builtinId="6"/>
    <cellStyle name="백분율" xfId="2" builtinId="5"/>
  </cellStyles>
  <dxfs count="2">
    <dxf>
      <font>
        <color rgb="FFFF0000"/>
      </font>
    </dxf>
    <dxf>
      <fill>
        <patternFill>
          <bgColor rgb="FF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Y127"/>
  <sheetViews>
    <sheetView showZeros="0" tabSelected="1" zoomScale="90" zoomScaleNormal="90" workbookViewId="0">
      <selection activeCell="K18" sqref="K18:L18"/>
    </sheetView>
  </sheetViews>
  <sheetFormatPr baseColWidth="8" defaultRowHeight="17"/>
  <cols>
    <col width="5.5" customWidth="1" style="111" min="1" max="1"/>
    <col width="2.33203125" customWidth="1" style="111" min="2" max="2"/>
    <col width="7.5" customWidth="1" style="111" min="3" max="3"/>
    <col width="11.08203125" bestFit="1" customWidth="1" style="111" min="4" max="4"/>
    <col width="6.4140625" customWidth="1" style="111" min="5" max="8"/>
    <col width="7" customWidth="1" style="111" min="9" max="18"/>
    <col width="2.83203125" customWidth="1" style="111" min="24" max="24"/>
    <col hidden="1" outlineLevel="1" width="8.6640625" customWidth="1" style="111" min="25" max="31"/>
    <col hidden="1" outlineLevel="1" width="22.6640625" customWidth="1" style="111" min="32" max="32"/>
    <col collapsed="1" width="8.6640625" customWidth="1" style="111" min="33" max="33"/>
    <col width="9.83203125" bestFit="1" customWidth="1" style="111" min="34" max="34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</row>
    <row r="2">
      <c r="A2" s="1" t="n"/>
      <c r="B2" s="1" t="n"/>
      <c r="C2" s="2" t="inlineStr">
        <is>
          <t>사업 연도</t>
        </is>
      </c>
      <c r="D2" s="112" t="n"/>
      <c r="E2" s="113" t="inlineStr">
        <is>
          <t>시작</t>
        </is>
      </c>
      <c r="F2" s="114" t="n"/>
      <c r="G2" s="113" t="inlineStr">
        <is>
          <t>종료</t>
        </is>
      </c>
      <c r="H2" s="114" t="n"/>
      <c r="I2" s="115" t="inlineStr">
        <is>
          <t>업무용 승용차 운행기록부</t>
        </is>
      </c>
      <c r="J2" s="116" t="n"/>
      <c r="K2" s="116" t="n"/>
      <c r="L2" s="116" t="n"/>
      <c r="M2" s="116" t="n"/>
      <c r="N2" s="116" t="n"/>
      <c r="O2" s="116" t="n"/>
      <c r="P2" s="116" t="n"/>
      <c r="Q2" s="116" t="n"/>
      <c r="R2" s="112" t="n"/>
      <c r="S2" s="2" t="inlineStr">
        <is>
          <t>법인명</t>
        </is>
      </c>
      <c r="T2" s="114" t="n"/>
      <c r="U2" s="22" t="inlineStr">
        <is>
          <t>삼우에레코</t>
        </is>
      </c>
      <c r="V2" s="117" t="n"/>
      <c r="W2" s="114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</row>
    <row r="3">
      <c r="A3" s="1" t="n"/>
      <c r="C3" s="118" t="n"/>
      <c r="D3" s="119" t="n"/>
      <c r="E3" s="120" t="n">
        <v>46143</v>
      </c>
      <c r="F3" s="114" t="n"/>
      <c r="G3" s="121">
        <f>EOMONTH(E3,0)</f>
        <v/>
      </c>
      <c r="H3" s="114" t="n"/>
      <c r="I3" s="118" t="n"/>
      <c r="J3" s="122" t="n"/>
      <c r="K3" s="122" t="n"/>
      <c r="L3" s="122" t="n"/>
      <c r="M3" s="122" t="n"/>
      <c r="N3" s="122" t="n"/>
      <c r="O3" s="122" t="n"/>
      <c r="P3" s="122" t="n"/>
      <c r="Q3" s="122" t="n"/>
      <c r="R3" s="119" t="n"/>
      <c r="S3" s="2" t="inlineStr">
        <is>
          <t>사업자등록번호</t>
        </is>
      </c>
      <c r="T3" s="114" t="n"/>
      <c r="U3" s="22" t="inlineStr">
        <is>
          <t>312-81-17683</t>
        </is>
      </c>
      <c r="V3" s="117" t="n"/>
      <c r="W3" s="114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</row>
    <row r="5">
      <c r="A5" s="1" t="n"/>
      <c r="B5" s="20" t="inlineStr">
        <is>
          <t>1. 기본 정보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</row>
    <row r="6">
      <c r="A6" s="1" t="n"/>
      <c r="B6" s="1" t="n"/>
      <c r="C6" s="2" t="inlineStr">
        <is>
          <t xml:space="preserve">① 차종 </t>
        </is>
      </c>
      <c r="D6" s="114" t="n"/>
      <c r="E6" s="2" t="inlineStr">
        <is>
          <t>② 자동차 등록 번호</t>
        </is>
      </c>
      <c r="F6" s="117" t="n"/>
      <c r="G6" s="117" t="n"/>
      <c r="H6" s="114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</row>
    <row r="7">
      <c r="A7" s="1" t="n"/>
      <c r="B7" s="1" t="n"/>
      <c r="C7" s="22" t="n"/>
      <c r="D7" s="114" t="n"/>
      <c r="E7" s="22" t="n"/>
      <c r="F7" s="117" t="n"/>
      <c r="G7" s="117" t="n"/>
      <c r="H7" s="114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23" t="n"/>
      <c r="T7" s="124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</row>
    <row r="9">
      <c r="A9" s="1" t="n"/>
      <c r="B9" s="20" t="inlineStr">
        <is>
          <t>2. 업무용 사용 비율 계산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</row>
    <row r="10">
      <c r="A10" s="1" t="n"/>
      <c r="B10" s="1" t="n"/>
      <c r="C10" s="2" t="inlineStr">
        <is>
          <t>③ 사용 일자(요일)</t>
        </is>
      </c>
      <c r="D10" s="112" t="n"/>
      <c r="E10" s="2" t="inlineStr">
        <is>
          <t>④ 사용자</t>
        </is>
      </c>
      <c r="F10" s="117" t="n"/>
      <c r="G10" s="117" t="n"/>
      <c r="H10" s="114" t="n"/>
      <c r="I10" s="2" t="inlineStr">
        <is>
          <t>운행 내역</t>
        </is>
      </c>
      <c r="J10" s="117" t="n"/>
      <c r="K10" s="117" t="n"/>
      <c r="L10" s="117" t="n"/>
      <c r="M10" s="117" t="n"/>
      <c r="N10" s="117" t="n"/>
      <c r="O10" s="117" t="n"/>
      <c r="P10" s="117" t="n"/>
      <c r="Q10" s="117" t="n"/>
      <c r="R10" s="117" t="n"/>
      <c r="S10" s="117" t="n"/>
      <c r="T10" s="117" t="n"/>
      <c r="U10" s="117" t="n"/>
      <c r="V10" s="117" t="n"/>
      <c r="W10" s="114" t="n"/>
      <c r="X10" s="1" t="n"/>
      <c r="Y10" s="27" t="n"/>
      <c r="Z10" s="28" t="n"/>
      <c r="AA10" s="28" t="n"/>
      <c r="AB10" s="28" t="n"/>
      <c r="AC10" s="28" t="n"/>
      <c r="AD10" s="28" t="n"/>
      <c r="AE10" s="28" t="n"/>
      <c r="AF10" s="29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</row>
    <row r="11" ht="17" customHeight="1" s="111">
      <c r="A11" s="1" t="n"/>
      <c r="B11" s="1" t="n"/>
      <c r="C11" s="125" t="n"/>
      <c r="D11" s="126" t="n"/>
      <c r="E11" s="2" t="inlineStr">
        <is>
          <t>부서</t>
        </is>
      </c>
      <c r="F11" s="112" t="n"/>
      <c r="G11" s="2" t="inlineStr">
        <is>
          <t>성명</t>
        </is>
      </c>
      <c r="H11" s="112" t="n"/>
      <c r="I11" s="32" t="inlineStr">
        <is>
          <t>⑤ 주행 전 
계기판의 거리(km)</t>
        </is>
      </c>
      <c r="J11" s="112" t="n"/>
      <c r="K11" s="32" t="inlineStr">
        <is>
          <t>⑥ 주행 후
계기판의 거리(km)</t>
        </is>
      </c>
      <c r="L11" s="112" t="n"/>
      <c r="M11" s="2" t="inlineStr">
        <is>
          <t>⑦ 주행 거리(km)</t>
        </is>
      </c>
      <c r="N11" s="112" t="n"/>
      <c r="O11" s="2" t="inlineStr">
        <is>
          <t>업무용 사용 거리(km)</t>
        </is>
      </c>
      <c r="P11" s="117" t="n"/>
      <c r="Q11" s="117" t="n"/>
      <c r="R11" s="114" t="n"/>
      <c r="S11" s="2" t="inlineStr">
        <is>
          <t>개인 사용 거리(km)</t>
        </is>
      </c>
      <c r="T11" s="112" t="n"/>
      <c r="U11" s="38" t="inlineStr">
        <is>
          <t>⑩ 비고</t>
        </is>
      </c>
      <c r="V11" s="117" t="n"/>
      <c r="W11" s="114" t="n"/>
      <c r="X11" s="1" t="n"/>
      <c r="Y11" s="127" t="inlineStr">
        <is>
          <t>[작성 방법]</t>
        </is>
      </c>
      <c r="AF11" s="126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</row>
    <row r="12">
      <c r="A12" s="1" t="n"/>
      <c r="B12" s="1" t="n"/>
      <c r="C12" s="118" t="n"/>
      <c r="D12" s="119" t="n"/>
      <c r="E12" s="118" t="n"/>
      <c r="F12" s="119" t="n"/>
      <c r="G12" s="118" t="n"/>
      <c r="H12" s="119" t="n"/>
      <c r="I12" s="118" t="n"/>
      <c r="J12" s="119" t="n"/>
      <c r="K12" s="118" t="n"/>
      <c r="L12" s="119" t="n"/>
      <c r="M12" s="118" t="n"/>
      <c r="N12" s="119" t="n"/>
      <c r="O12" s="2" t="inlineStr">
        <is>
          <t>⑧ 출∙퇴근용</t>
        </is>
      </c>
      <c r="P12" s="114" t="n"/>
      <c r="Q12" s="2" t="inlineStr">
        <is>
          <t>⑨ 일반 업무용</t>
        </is>
      </c>
      <c r="R12" s="114" t="n"/>
      <c r="S12" s="118" t="n"/>
      <c r="T12" s="119" t="n"/>
      <c r="U12" s="38" t="inlineStr">
        <is>
          <t>하이패스</t>
        </is>
      </c>
      <c r="V12" s="2" t="inlineStr">
        <is>
          <t>기타</t>
        </is>
      </c>
      <c r="W12" s="114" t="n"/>
      <c r="X12" s="1" t="n"/>
      <c r="Y12" s="39" t="n"/>
      <c r="Z12" s="1" t="n"/>
      <c r="AA12" s="1" t="n"/>
      <c r="AB12" s="1" t="n"/>
      <c r="AC12" s="1" t="n"/>
      <c r="AD12" s="1" t="n"/>
      <c r="AE12" s="1" t="n"/>
      <c r="AF12" s="40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</row>
    <row r="13">
      <c r="A13" s="1" t="n"/>
      <c r="B13" s="1" t="n"/>
      <c r="C13" s="41" t="n">
        <v>1</v>
      </c>
      <c r="D13" s="128">
        <f>E3</f>
        <v/>
      </c>
      <c r="E13" s="43" t="n"/>
      <c r="F13" s="129" t="n"/>
      <c r="G13" s="44" t="n"/>
      <c r="H13" s="129" t="n"/>
      <c r="I13" s="130" t="n"/>
      <c r="J13" s="129" t="n"/>
      <c r="K13" s="131" t="n"/>
      <c r="L13" s="129" t="n"/>
      <c r="M13" s="49">
        <f>K13-I13</f>
        <v/>
      </c>
      <c r="N13" s="129" t="n"/>
      <c r="O13" s="43" t="n"/>
      <c r="P13" s="129" t="n"/>
      <c r="Q13" s="44" t="n"/>
      <c r="R13" s="129" t="n"/>
      <c r="S13" s="44" t="n"/>
      <c r="T13" s="129" t="n"/>
      <c r="U13" s="132" t="n"/>
      <c r="V13" s="49" t="n"/>
      <c r="W13" s="129" t="n"/>
      <c r="X13" s="1" t="n"/>
      <c r="Y13" s="133" t="inlineStr">
        <is>
          <t>1. ① 업무용 승용차의 차종을 적습니다.</t>
        </is>
      </c>
      <c r="AF13" s="126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</row>
    <row r="14">
      <c r="A14" s="1" t="n"/>
      <c r="B14" s="1" t="n"/>
      <c r="C14" s="41" t="n">
        <v>2</v>
      </c>
      <c r="D14" s="134">
        <f>D13+1</f>
        <v/>
      </c>
      <c r="E14" s="56" t="n"/>
      <c r="F14" s="135" t="n"/>
      <c r="G14" s="56" t="n"/>
      <c r="H14" s="135" t="n"/>
      <c r="I14" s="136" t="n"/>
      <c r="J14" s="135" t="n"/>
      <c r="K14" s="137" t="n"/>
      <c r="L14" s="135" t="n"/>
      <c r="M14" s="57">
        <f>K14-I14</f>
        <v/>
      </c>
      <c r="N14" s="135" t="n"/>
      <c r="O14" s="56" t="n"/>
      <c r="P14" s="135" t="n"/>
      <c r="Q14" s="57" t="n"/>
      <c r="R14" s="135" t="n"/>
      <c r="S14" s="61" t="n"/>
      <c r="T14" s="138" t="n"/>
      <c r="U14" s="139" t="n"/>
      <c r="V14" s="57" t="n"/>
      <c r="W14" s="135" t="n"/>
      <c r="X14" s="1" t="n"/>
      <c r="Y14" s="133" t="n"/>
      <c r="AF14" s="126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</row>
    <row r="15">
      <c r="A15" s="1" t="n"/>
      <c r="B15" s="1" t="n"/>
      <c r="C15" s="41" t="n">
        <v>3</v>
      </c>
      <c r="D15" s="134">
        <f>D14+1</f>
        <v/>
      </c>
      <c r="E15" s="56" t="n"/>
      <c r="F15" s="135" t="n"/>
      <c r="G15" s="56" t="n"/>
      <c r="H15" s="135" t="n"/>
      <c r="I15" s="136" t="n"/>
      <c r="J15" s="135" t="n"/>
      <c r="K15" s="137" t="n"/>
      <c r="L15" s="135" t="n"/>
      <c r="M15" s="57">
        <f>K15-I15</f>
        <v/>
      </c>
      <c r="N15" s="135" t="n"/>
      <c r="O15" s="56" t="n"/>
      <c r="P15" s="135" t="n"/>
      <c r="Q15" s="57" t="n"/>
      <c r="R15" s="135" t="n"/>
      <c r="S15" s="64" t="n"/>
      <c r="T15" s="140" t="n"/>
      <c r="U15" s="139" t="n"/>
      <c r="V15" s="57" t="n"/>
      <c r="W15" s="135" t="n"/>
      <c r="X15" s="1" t="n"/>
      <c r="Y15" s="133" t="inlineStr">
        <is>
          <t>2. ② 업무용승용차의 자동차등록번호를 적습니다.</t>
        </is>
      </c>
      <c r="AF15" s="126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</row>
    <row r="16">
      <c r="A16" s="1" t="n"/>
      <c r="B16" s="1" t="n"/>
      <c r="C16" s="41" t="n">
        <v>4</v>
      </c>
      <c r="D16" s="134">
        <f>D15+1</f>
        <v/>
      </c>
      <c r="E16" s="66" t="n"/>
      <c r="F16" s="129" t="n"/>
      <c r="G16" s="67" t="n"/>
      <c r="H16" s="129" t="n"/>
      <c r="I16" s="136" t="n"/>
      <c r="J16" s="135" t="n"/>
      <c r="K16" s="137" t="n"/>
      <c r="L16" s="135" t="n"/>
      <c r="M16" s="57">
        <f>K16-I16</f>
        <v/>
      </c>
      <c r="N16" s="135" t="n"/>
      <c r="O16" s="56" t="n"/>
      <c r="P16" s="135" t="n"/>
      <c r="Q16" s="57" t="n"/>
      <c r="R16" s="135" t="n"/>
      <c r="S16" s="64" t="n"/>
      <c r="T16" s="140" t="n"/>
      <c r="U16" s="139" t="n"/>
      <c r="V16" s="57" t="n"/>
      <c r="W16" s="135" t="n"/>
      <c r="X16" s="1" t="n"/>
      <c r="Y16" s="133" t="n"/>
      <c r="AF16" s="126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</row>
    <row r="17">
      <c r="A17" s="1" t="n"/>
      <c r="B17" s="1" t="n"/>
      <c r="C17" s="41" t="n">
        <v>5</v>
      </c>
      <c r="D17" s="141">
        <f>D16+1</f>
        <v/>
      </c>
      <c r="E17" s="70" t="n"/>
      <c r="F17" s="135" t="n"/>
      <c r="G17" s="70" t="n"/>
      <c r="H17" s="135" t="n"/>
      <c r="I17" s="136" t="n"/>
      <c r="J17" s="135" t="n"/>
      <c r="K17" s="137" t="n"/>
      <c r="L17" s="135" t="n"/>
      <c r="M17" s="57">
        <f>K17-I17</f>
        <v/>
      </c>
      <c r="N17" s="135" t="n"/>
      <c r="O17" s="56" t="n"/>
      <c r="P17" s="135" t="n"/>
      <c r="Q17" s="57" t="n"/>
      <c r="R17" s="135" t="n"/>
      <c r="S17" s="64" t="n"/>
      <c r="T17" s="140" t="n"/>
      <c r="U17" s="139" t="n"/>
      <c r="V17" s="57" t="n"/>
      <c r="W17" s="135" t="n"/>
      <c r="X17" s="1" t="n"/>
      <c r="Y17" s="133" t="inlineStr">
        <is>
          <t>3. ③ 사용 일자를 적습니다.</t>
        </is>
      </c>
      <c r="AF17" s="126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</row>
    <row r="18">
      <c r="A18" s="1" t="n"/>
      <c r="B18" s="1" t="n"/>
      <c r="C18" s="41" t="n">
        <v>6</v>
      </c>
      <c r="D18" s="134">
        <f>D17+1</f>
        <v/>
      </c>
      <c r="E18" s="66" t="n"/>
      <c r="F18" s="129" t="n"/>
      <c r="G18" s="67" t="n"/>
      <c r="H18" s="129" t="n"/>
      <c r="I18" s="136" t="n"/>
      <c r="J18" s="135" t="n"/>
      <c r="K18" s="137" t="n"/>
      <c r="L18" s="135" t="n"/>
      <c r="M18" s="57">
        <f>K18-I18</f>
        <v/>
      </c>
      <c r="N18" s="135" t="n"/>
      <c r="O18" s="56" t="n"/>
      <c r="P18" s="135" t="n"/>
      <c r="Q18" s="57" t="n"/>
      <c r="R18" s="135" t="n"/>
      <c r="S18" s="64" t="n"/>
      <c r="T18" s="140" t="n"/>
      <c r="U18" s="139" t="n"/>
      <c r="V18" s="57" t="n"/>
      <c r="W18" s="135" t="n"/>
      <c r="X18" s="1" t="n"/>
      <c r="Y18" s="133" t="n"/>
      <c r="AF18" s="126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</row>
    <row r="19">
      <c r="A19" s="1" t="n"/>
      <c r="B19" s="1" t="n"/>
      <c r="C19" s="41" t="n">
        <v>7</v>
      </c>
      <c r="D19" s="134">
        <f>D18+1</f>
        <v/>
      </c>
      <c r="E19" s="66" t="n"/>
      <c r="F19" s="129" t="n"/>
      <c r="G19" s="67" t="n"/>
      <c r="H19" s="129" t="n"/>
      <c r="I19" s="136" t="n"/>
      <c r="J19" s="135" t="n"/>
      <c r="K19" s="137" t="n"/>
      <c r="L19" s="135" t="n"/>
      <c r="M19" s="57">
        <f>K19-I19</f>
        <v/>
      </c>
      <c r="N19" s="135" t="n"/>
      <c r="O19" s="56" t="n"/>
      <c r="P19" s="135" t="n"/>
      <c r="Q19" s="57" t="n"/>
      <c r="R19" s="135" t="n"/>
      <c r="S19" s="64" t="n"/>
      <c r="T19" s="140" t="n"/>
      <c r="U19" s="139" t="n"/>
      <c r="V19" s="57" t="n"/>
      <c r="W19" s="135" t="n"/>
      <c r="X19" s="1" t="n"/>
      <c r="Y19" s="133" t="inlineStr">
        <is>
          <t>4. ④ 사용자(운전자가 아닌 차량 이용자)의 부서, 성명을 적습니다.</t>
        </is>
      </c>
      <c r="AF19" s="126" t="n"/>
      <c r="AG19" s="1" t="n"/>
      <c r="AH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</row>
    <row r="20">
      <c r="A20" s="1" t="n"/>
      <c r="B20" s="1" t="n"/>
      <c r="C20" s="41" t="n">
        <v>8</v>
      </c>
      <c r="D20" s="134">
        <f>D19+1</f>
        <v/>
      </c>
      <c r="E20" s="66" t="n"/>
      <c r="F20" s="129" t="n"/>
      <c r="G20" s="67" t="n"/>
      <c r="H20" s="129" t="n"/>
      <c r="I20" s="136" t="n"/>
      <c r="J20" s="135" t="n"/>
      <c r="K20" s="137" t="n"/>
      <c r="L20" s="135" t="n"/>
      <c r="M20" s="57">
        <f>K20-I20</f>
        <v/>
      </c>
      <c r="N20" s="135" t="n"/>
      <c r="O20" s="56" t="n"/>
      <c r="P20" s="135" t="n"/>
      <c r="Q20" s="57" t="n"/>
      <c r="R20" s="135" t="n"/>
      <c r="S20" s="64" t="n"/>
      <c r="T20" s="140" t="n"/>
      <c r="U20" s="139" t="n"/>
      <c r="V20" s="57" t="n"/>
      <c r="W20" s="135" t="n"/>
      <c r="X20" s="1" t="n"/>
      <c r="Y20" s="133" t="n"/>
      <c r="AF20" s="126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</row>
    <row r="21">
      <c r="A21" s="1" t="n"/>
      <c r="B21" s="1" t="n"/>
      <c r="C21" s="41" t="n">
        <v>9</v>
      </c>
      <c r="D21" s="134">
        <f>D20+1</f>
        <v/>
      </c>
      <c r="E21" s="56" t="n"/>
      <c r="F21" s="135" t="n"/>
      <c r="G21" s="56" t="n"/>
      <c r="H21" s="135" t="n"/>
      <c r="I21" s="136" t="n"/>
      <c r="J21" s="135" t="n"/>
      <c r="K21" s="137" t="n"/>
      <c r="L21" s="135" t="n"/>
      <c r="M21" s="57">
        <f>K21-I21</f>
        <v/>
      </c>
      <c r="N21" s="135" t="n"/>
      <c r="O21" s="56" t="n"/>
      <c r="P21" s="135" t="n"/>
      <c r="Q21" s="57" t="n"/>
      <c r="R21" s="135" t="n"/>
      <c r="S21" s="64" t="n"/>
      <c r="T21" s="140" t="n"/>
      <c r="U21" s="139" t="n"/>
      <c r="V21" s="57" t="n"/>
      <c r="W21" s="135" t="n"/>
      <c r="X21" s="1" t="n"/>
      <c r="Y21" s="133" t="inlineStr">
        <is>
          <t>5. ⑤ 주행 전 자동차 계기판의 누적 거리를 적습니다.</t>
        </is>
      </c>
      <c r="AF21" s="126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</row>
    <row r="22">
      <c r="A22" s="1" t="n"/>
      <c r="B22" s="1" t="n"/>
      <c r="C22" s="41" t="n">
        <v>10</v>
      </c>
      <c r="D22" s="134">
        <f>D21+1</f>
        <v/>
      </c>
      <c r="E22" s="56" t="n"/>
      <c r="F22" s="135" t="n"/>
      <c r="G22" s="56" t="n"/>
      <c r="H22" s="135" t="n"/>
      <c r="I22" s="136" t="n"/>
      <c r="J22" s="135" t="n"/>
      <c r="K22" s="137" t="n"/>
      <c r="L22" s="135" t="n"/>
      <c r="M22" s="57">
        <f>K22-I22</f>
        <v/>
      </c>
      <c r="N22" s="135" t="n"/>
      <c r="O22" s="56" t="n"/>
      <c r="P22" s="135" t="n"/>
      <c r="Q22" s="57" t="n"/>
      <c r="R22" s="135" t="n"/>
      <c r="S22" s="64" t="n"/>
      <c r="T22" s="140" t="n"/>
      <c r="U22" s="139" t="n"/>
      <c r="V22" s="57" t="n"/>
      <c r="W22" s="135" t="n"/>
      <c r="X22" s="1" t="n"/>
      <c r="Y22" s="133" t="n"/>
      <c r="AF22" s="126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</row>
    <row r="23">
      <c r="A23" s="1" t="n"/>
      <c r="B23" s="1" t="n"/>
      <c r="C23" s="41" t="n">
        <v>11</v>
      </c>
      <c r="D23" s="134">
        <f>D22+1</f>
        <v/>
      </c>
      <c r="E23" s="66" t="n"/>
      <c r="F23" s="129" t="n"/>
      <c r="G23" s="67" t="n"/>
      <c r="H23" s="129" t="n"/>
      <c r="I23" s="136" t="n"/>
      <c r="J23" s="135" t="n"/>
      <c r="K23" s="137" t="n"/>
      <c r="L23" s="135" t="n"/>
      <c r="M23" s="57">
        <f>K23-I23</f>
        <v/>
      </c>
      <c r="N23" s="135" t="n"/>
      <c r="O23" s="56" t="n"/>
      <c r="P23" s="135" t="n"/>
      <c r="Q23" s="57" t="n"/>
      <c r="R23" s="135" t="n"/>
      <c r="S23" s="64" t="n"/>
      <c r="T23" s="140" t="n"/>
      <c r="U23" s="139" t="n"/>
      <c r="V23" s="57" t="n"/>
      <c r="W23" s="135" t="n"/>
      <c r="X23" s="1" t="n"/>
      <c r="Y23" s="133" t="inlineStr">
        <is>
          <t>6. ⑥ 주행 후 자동차 계기판의 누적 거리를 적습니다.</t>
        </is>
      </c>
      <c r="AF23" s="126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</row>
    <row r="24">
      <c r="A24" s="1" t="n"/>
      <c r="B24" s="1" t="n"/>
      <c r="C24" s="41" t="n">
        <v>12</v>
      </c>
      <c r="D24" s="134">
        <f>D23+1</f>
        <v/>
      </c>
      <c r="E24" s="66" t="n"/>
      <c r="F24" s="129" t="n"/>
      <c r="G24" s="67" t="n"/>
      <c r="H24" s="129" t="n"/>
      <c r="I24" s="136" t="n"/>
      <c r="J24" s="135" t="n"/>
      <c r="K24" s="137" t="n"/>
      <c r="L24" s="135" t="n"/>
      <c r="M24" s="57">
        <f>K24-I24</f>
        <v/>
      </c>
      <c r="N24" s="135" t="n"/>
      <c r="O24" s="56" t="n"/>
      <c r="P24" s="135" t="n"/>
      <c r="Q24" s="57" t="n"/>
      <c r="R24" s="135" t="n"/>
      <c r="S24" s="64" t="n"/>
      <c r="T24" s="140" t="n"/>
      <c r="U24" s="139" t="n"/>
      <c r="V24" s="57" t="n"/>
      <c r="W24" s="135" t="n"/>
      <c r="X24" s="1" t="n"/>
      <c r="Y24" s="133" t="n"/>
      <c r="AF24" s="126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</row>
    <row r="25">
      <c r="A25" s="1" t="n"/>
      <c r="B25" s="1" t="n"/>
      <c r="C25" s="41" t="n">
        <v>13</v>
      </c>
      <c r="D25" s="134">
        <f>D24+1</f>
        <v/>
      </c>
      <c r="E25" s="66" t="n"/>
      <c r="F25" s="129" t="n"/>
      <c r="G25" s="67" t="n"/>
      <c r="H25" s="129" t="n"/>
      <c r="I25" s="136" t="n"/>
      <c r="J25" s="135" t="n"/>
      <c r="K25" s="137" t="n"/>
      <c r="L25" s="135" t="n"/>
      <c r="M25" s="57">
        <f>K25-I25</f>
        <v/>
      </c>
      <c r="N25" s="135" t="n"/>
      <c r="O25" s="56" t="n"/>
      <c r="P25" s="135" t="n"/>
      <c r="Q25" s="57" t="n"/>
      <c r="R25" s="135" t="n"/>
      <c r="S25" s="64" t="n"/>
      <c r="T25" s="140" t="n"/>
      <c r="U25" s="139" t="n"/>
      <c r="V25" s="57" t="n"/>
      <c r="W25" s="135" t="n"/>
      <c r="X25" s="1" t="n"/>
      <c r="Y25" s="133" t="inlineStr">
        <is>
          <t>7. ⑦ 사용 시마다 주행거리(⑥-⑤)를 적거나, 사용자별 주행 거리의 합을 적습니다.</t>
        </is>
      </c>
      <c r="AF25" s="126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</row>
    <row r="26">
      <c r="A26" s="1" t="n"/>
      <c r="B26" s="1" t="n"/>
      <c r="C26" s="41" t="n">
        <v>14</v>
      </c>
      <c r="D26" s="134">
        <f>D25+1</f>
        <v/>
      </c>
      <c r="E26" s="66" t="n"/>
      <c r="F26" s="129" t="n"/>
      <c r="G26" s="67" t="n"/>
      <c r="H26" s="129" t="n"/>
      <c r="I26" s="136" t="n"/>
      <c r="J26" s="135" t="n"/>
      <c r="K26" s="137" t="n"/>
      <c r="L26" s="135" t="n"/>
      <c r="M26" s="57">
        <f>K26-I26</f>
        <v/>
      </c>
      <c r="N26" s="135" t="n"/>
      <c r="O26" s="56" t="n"/>
      <c r="P26" s="135" t="n"/>
      <c r="Q26" s="57" t="n"/>
      <c r="R26" s="135" t="n"/>
      <c r="S26" s="64" t="n"/>
      <c r="T26" s="140" t="n"/>
      <c r="U26" s="139" t="n"/>
      <c r="V26" s="57" t="n"/>
      <c r="W26" s="135" t="n"/>
      <c r="X26" s="1" t="n"/>
      <c r="Y26" s="133" t="n"/>
      <c r="AF26" s="126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</row>
    <row r="27">
      <c r="A27" s="1" t="n"/>
      <c r="B27" s="1" t="n"/>
      <c r="C27" s="41" t="n">
        <v>15</v>
      </c>
      <c r="D27" s="134">
        <f>D26+1</f>
        <v/>
      </c>
      <c r="E27" s="66" t="n"/>
      <c r="F27" s="129" t="n"/>
      <c r="G27" s="67" t="n"/>
      <c r="H27" s="129" t="n"/>
      <c r="I27" s="136" t="n"/>
      <c r="J27" s="135" t="n"/>
      <c r="K27" s="137" t="n"/>
      <c r="L27" s="135" t="n"/>
      <c r="M27" s="57">
        <f>K27-I27</f>
        <v/>
      </c>
      <c r="N27" s="135" t="n"/>
      <c r="O27" s="56" t="n"/>
      <c r="P27" s="135" t="n"/>
      <c r="Q27" s="57" t="n"/>
      <c r="R27" s="135" t="n"/>
      <c r="S27" s="64" t="n"/>
      <c r="T27" s="140" t="n"/>
      <c r="U27" s="139" t="n"/>
      <c r="V27" s="57" t="n"/>
      <c r="W27" s="135" t="n"/>
      <c r="X27" s="1" t="n"/>
      <c r="Y27" s="133" t="inlineStr">
        <is>
          <t>8. ⑧ 업무용 사용 거리 중 출∙퇴근용(원격지 출∙퇴근을 포함) 사용 거리를 적습니다.</t>
        </is>
      </c>
      <c r="AF27" s="126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</row>
    <row r="28">
      <c r="A28" s="1" t="n"/>
      <c r="B28" s="1" t="n"/>
      <c r="C28" s="41" t="n">
        <v>16</v>
      </c>
      <c r="D28" s="134">
        <f>D27+1</f>
        <v/>
      </c>
      <c r="E28" s="56" t="n"/>
      <c r="F28" s="135" t="n"/>
      <c r="G28" s="56" t="n"/>
      <c r="H28" s="135" t="n"/>
      <c r="I28" s="136" t="n"/>
      <c r="J28" s="135" t="n"/>
      <c r="K28" s="137" t="n"/>
      <c r="L28" s="135" t="n"/>
      <c r="M28" s="57">
        <f>K28-I28</f>
        <v/>
      </c>
      <c r="N28" s="135" t="n"/>
      <c r="O28" s="56" t="n"/>
      <c r="P28" s="135" t="n"/>
      <c r="Q28" s="57" t="n"/>
      <c r="R28" s="135" t="n"/>
      <c r="S28" s="64" t="n"/>
      <c r="T28" s="140" t="n"/>
      <c r="U28" s="139" t="n"/>
      <c r="V28" s="57" t="n"/>
      <c r="W28" s="135" t="n"/>
      <c r="X28" s="1" t="n"/>
      <c r="Y28" s="133" t="n"/>
      <c r="AF28" s="126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</row>
    <row r="29" ht="17" customHeight="1" s="111">
      <c r="A29" s="1" t="n"/>
      <c r="B29" s="1" t="n"/>
      <c r="C29" s="41" t="n">
        <v>17</v>
      </c>
      <c r="D29" s="134">
        <f>D28+1</f>
        <v/>
      </c>
      <c r="E29" s="56" t="n"/>
      <c r="F29" s="135" t="n"/>
      <c r="G29" s="56" t="n"/>
      <c r="H29" s="135" t="n"/>
      <c r="I29" s="136" t="n"/>
      <c r="J29" s="135" t="n"/>
      <c r="K29" s="137" t="n"/>
      <c r="L29" s="135" t="n"/>
      <c r="M29" s="57">
        <f>K29-I29</f>
        <v/>
      </c>
      <c r="N29" s="135" t="n"/>
      <c r="O29" s="56" t="n"/>
      <c r="P29" s="135" t="n"/>
      <c r="Q29" s="57" t="n"/>
      <c r="R29" s="135" t="n"/>
      <c r="S29" s="64" t="n"/>
      <c r="T29" s="140" t="n"/>
      <c r="U29" s="139" t="n"/>
      <c r="V29" s="57" t="n"/>
      <c r="W29" s="135" t="n"/>
      <c r="X29" s="1" t="n"/>
      <c r="Y29" s="142" t="inlineStr">
        <is>
          <t>9. ⑨ 업무용 사용 거리 중 제조∙판매시설 등 해당 법인의 사업장 방문, 거래처∙대리점 
   방문,회의 참석, 판촉 활동, 업무관련 교육∙훈련 등 일반 업무용 사용 거리를 적습니다.</t>
        </is>
      </c>
      <c r="AF29" s="126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</row>
    <row r="30">
      <c r="A30" s="1" t="n"/>
      <c r="B30" s="1" t="n"/>
      <c r="C30" s="41" t="n">
        <v>18</v>
      </c>
      <c r="D30" s="134">
        <f>D29+1</f>
        <v/>
      </c>
      <c r="E30" s="66" t="n"/>
      <c r="F30" s="129" t="n"/>
      <c r="G30" s="67" t="n"/>
      <c r="H30" s="129" t="n"/>
      <c r="I30" s="136" t="n"/>
      <c r="J30" s="135" t="n"/>
      <c r="K30" s="137" t="n"/>
      <c r="L30" s="135" t="n"/>
      <c r="M30" s="57">
        <f>K30-I30</f>
        <v/>
      </c>
      <c r="N30" s="135" t="n"/>
      <c r="O30" s="56" t="n"/>
      <c r="P30" s="135" t="n"/>
      <c r="Q30" s="57" t="n"/>
      <c r="R30" s="135" t="n"/>
      <c r="S30" s="64" t="n"/>
      <c r="T30" s="140" t="n"/>
      <c r="U30" s="139" t="n"/>
      <c r="V30" s="57" t="n"/>
      <c r="W30" s="135" t="n"/>
      <c r="X30" s="1" t="n"/>
      <c r="Y30" s="125" t="n"/>
      <c r="AF30" s="126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</row>
    <row r="31">
      <c r="C31" s="75" t="n">
        <v>19</v>
      </c>
      <c r="D31" s="134">
        <f>D30+1</f>
        <v/>
      </c>
      <c r="E31" s="66" t="n"/>
      <c r="F31" s="129" t="n"/>
      <c r="G31" s="67" t="n"/>
      <c r="H31" s="129" t="n"/>
      <c r="I31" s="143" t="n"/>
      <c r="J31" s="135" t="n"/>
      <c r="K31" s="144" t="n"/>
      <c r="L31" s="135" t="n"/>
      <c r="M31" s="71">
        <f>K31-I31</f>
        <v/>
      </c>
      <c r="N31" s="135" t="n"/>
      <c r="O31" s="70" t="n"/>
      <c r="P31" s="135" t="n"/>
      <c r="Q31" s="71" t="n"/>
      <c r="R31" s="135" t="n"/>
      <c r="S31" s="64" t="n"/>
      <c r="T31" s="140" t="n"/>
      <c r="U31" s="145" t="n"/>
      <c r="V31" s="71" t="n"/>
      <c r="W31" s="135" t="n"/>
      <c r="Y31" s="146" t="n"/>
      <c r="AF31" s="126" t="n"/>
    </row>
    <row r="32" ht="17" customHeight="1" s="111">
      <c r="A32" s="1" t="n"/>
      <c r="B32" s="1" t="n"/>
      <c r="C32" s="41" t="n">
        <v>20</v>
      </c>
      <c r="D32" s="134">
        <f>D31+1</f>
        <v/>
      </c>
      <c r="E32" s="66" t="n"/>
      <c r="F32" s="129" t="n"/>
      <c r="G32" s="67" t="n"/>
      <c r="H32" s="129" t="n"/>
      <c r="I32" s="136" t="n"/>
      <c r="J32" s="135" t="n"/>
      <c r="K32" s="137" t="n"/>
      <c r="L32" s="135" t="n"/>
      <c r="M32" s="57">
        <f>K32-I32</f>
        <v/>
      </c>
      <c r="N32" s="135" t="n"/>
      <c r="O32" s="56" t="n"/>
      <c r="P32" s="135" t="n"/>
      <c r="Q32" s="57" t="n"/>
      <c r="R32" s="135" t="n"/>
      <c r="S32" s="64" t="n"/>
      <c r="T32" s="140" t="n"/>
      <c r="U32" s="139" t="n"/>
      <c r="V32" s="57" t="n"/>
      <c r="W32" s="135" t="n"/>
      <c r="X32" s="1" t="n"/>
      <c r="Y32" s="142" t="inlineStr">
        <is>
          <t>10. ⑩ 비고 란에는 하이패스 사용 내역(업무용도, 개인용도 전체 표기) 및 특이사항 작성 
     (ex. 주말 업체 경조사 참석 등)</t>
        </is>
      </c>
      <c r="AF32" s="126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</row>
    <row r="33">
      <c r="A33" s="1" t="n"/>
      <c r="B33" s="1" t="n"/>
      <c r="C33" s="41" t="n">
        <v>21</v>
      </c>
      <c r="D33" s="134">
        <f>D32+1</f>
        <v/>
      </c>
      <c r="E33" s="66" t="n"/>
      <c r="F33" s="129" t="n"/>
      <c r="G33" s="67" t="n"/>
      <c r="H33" s="129" t="n"/>
      <c r="I33" s="136" t="n"/>
      <c r="J33" s="135" t="n"/>
      <c r="K33" s="137" t="n"/>
      <c r="L33" s="135" t="n"/>
      <c r="M33" s="57">
        <f>K33-I33</f>
        <v/>
      </c>
      <c r="N33" s="135" t="n"/>
      <c r="O33" s="56" t="n"/>
      <c r="P33" s="135" t="n"/>
      <c r="Q33" s="57" t="n"/>
      <c r="R33" s="135" t="n"/>
      <c r="S33" s="64" t="n"/>
      <c r="T33" s="140" t="n"/>
      <c r="U33" s="139" t="n"/>
      <c r="V33" s="57" t="n"/>
      <c r="W33" s="135" t="n"/>
      <c r="X33" s="1" t="n"/>
      <c r="Y33" s="125" t="n"/>
      <c r="AF33" s="126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</row>
    <row r="34">
      <c r="A34" s="1" t="n"/>
      <c r="B34" s="1" t="n"/>
      <c r="C34" s="41" t="n">
        <v>22</v>
      </c>
      <c r="D34" s="134">
        <f>D33+1</f>
        <v/>
      </c>
      <c r="E34" s="66" t="n"/>
      <c r="F34" s="129" t="n"/>
      <c r="G34" s="67" t="n"/>
      <c r="H34" s="129" t="n"/>
      <c r="I34" s="136" t="n"/>
      <c r="J34" s="135" t="n"/>
      <c r="K34" s="137" t="n"/>
      <c r="L34" s="135" t="n"/>
      <c r="M34" s="57">
        <f>K34-I34</f>
        <v/>
      </c>
      <c r="N34" s="135" t="n"/>
      <c r="O34" s="56" t="n"/>
      <c r="P34" s="135" t="n"/>
      <c r="Q34" s="57" t="n"/>
      <c r="R34" s="135" t="n"/>
      <c r="S34" s="64" t="n"/>
      <c r="T34" s="140" t="n"/>
      <c r="U34" s="139" t="n"/>
      <c r="V34" s="57" t="n"/>
      <c r="W34" s="135" t="n"/>
      <c r="X34" s="1" t="n"/>
      <c r="Y34" s="133" t="n"/>
      <c r="AF34" s="126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</row>
    <row r="35" ht="17" customHeight="1" s="111">
      <c r="A35" s="1" t="n"/>
      <c r="B35" s="1" t="n"/>
      <c r="C35" s="75" t="n">
        <v>23</v>
      </c>
      <c r="D35" s="134">
        <f>D34+1</f>
        <v/>
      </c>
      <c r="E35" s="56" t="n"/>
      <c r="F35" s="135" t="n"/>
      <c r="G35" s="56" t="n"/>
      <c r="H35" s="135" t="n"/>
      <c r="I35" s="143" t="n"/>
      <c r="J35" s="135" t="n"/>
      <c r="K35" s="144" t="n"/>
      <c r="L35" s="135" t="n"/>
      <c r="M35" s="71">
        <f>K35-I35</f>
        <v/>
      </c>
      <c r="N35" s="135" t="n"/>
      <c r="O35" s="70" t="n"/>
      <c r="P35" s="135" t="n"/>
      <c r="Q35" s="71" t="n"/>
      <c r="R35" s="135" t="n"/>
      <c r="S35" s="64" t="n"/>
      <c r="T35" s="140" t="n"/>
      <c r="U35" s="145" t="n"/>
      <c r="V35" s="71" t="n"/>
      <c r="W35" s="135" t="n"/>
      <c r="X35" s="1" t="n"/>
      <c r="Y35" s="142" t="inlineStr">
        <is>
          <t>11. ⑪~⑬ 해당 사업연도의 주행 거리 합계, 업무용 사용 거리 합계, 업무사용 비율을 각각 적습니다.
    (사업연도는 매월 1~말일 까지 1달을 기준으로 합니다.)</t>
        </is>
      </c>
      <c r="AF35" s="126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</row>
    <row r="36">
      <c r="A36" s="1" t="n"/>
      <c r="B36" s="1" t="n"/>
      <c r="C36" s="41" t="n">
        <v>24</v>
      </c>
      <c r="D36" s="134">
        <f>D35+1</f>
        <v/>
      </c>
      <c r="E36" s="56" t="n"/>
      <c r="F36" s="135" t="n"/>
      <c r="G36" s="56" t="n"/>
      <c r="H36" s="135" t="n"/>
      <c r="I36" s="136" t="n"/>
      <c r="J36" s="135" t="n"/>
      <c r="K36" s="137" t="n"/>
      <c r="L36" s="135" t="n"/>
      <c r="M36" s="57">
        <f>K36-I36</f>
        <v/>
      </c>
      <c r="N36" s="135" t="n"/>
      <c r="O36" s="56" t="n"/>
      <c r="P36" s="135" t="n"/>
      <c r="Q36" s="57" t="n"/>
      <c r="R36" s="135" t="n"/>
      <c r="S36" s="64" t="n"/>
      <c r="T36" s="140" t="n"/>
      <c r="U36" s="139" t="n"/>
      <c r="V36" s="57" t="n"/>
      <c r="W36" s="135" t="n"/>
      <c r="X36" s="1" t="n"/>
      <c r="Y36" s="125" t="n"/>
      <c r="AF36" s="126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</row>
    <row r="37">
      <c r="A37" s="1" t="n"/>
      <c r="B37" s="1" t="n"/>
      <c r="C37" s="41" t="n">
        <v>25</v>
      </c>
      <c r="D37" s="141">
        <f>D36+1</f>
        <v/>
      </c>
      <c r="E37" s="56" t="n"/>
      <c r="F37" s="135" t="n"/>
      <c r="G37" s="56" t="n"/>
      <c r="H37" s="135" t="n"/>
      <c r="I37" s="136" t="n"/>
      <c r="J37" s="135" t="n"/>
      <c r="K37" s="137" t="n"/>
      <c r="L37" s="135" t="n"/>
      <c r="M37" s="57">
        <f>K37-I37</f>
        <v/>
      </c>
      <c r="N37" s="135" t="n"/>
      <c r="O37" s="56" t="n"/>
      <c r="P37" s="135" t="n"/>
      <c r="Q37" s="57" t="n"/>
      <c r="R37" s="135" t="n"/>
      <c r="S37" s="64" t="n"/>
      <c r="T37" s="140" t="n"/>
      <c r="U37" s="139" t="n"/>
      <c r="V37" s="57" t="n"/>
      <c r="W37" s="135" t="n"/>
      <c r="X37" s="1" t="n"/>
      <c r="Y37" s="83" t="n"/>
      <c r="Z37" s="84" t="n"/>
      <c r="AA37" s="84" t="n"/>
      <c r="AB37" s="84" t="n"/>
      <c r="AC37" s="84" t="n"/>
      <c r="AD37" s="84" t="n"/>
      <c r="AE37" s="84" t="n"/>
      <c r="AF37" s="85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</row>
    <row r="38">
      <c r="A38" s="1" t="n"/>
      <c r="B38" s="1" t="n"/>
      <c r="C38" s="41" t="n">
        <v>26</v>
      </c>
      <c r="D38" s="134">
        <f>D37+1</f>
        <v/>
      </c>
      <c r="E38" s="66" t="n"/>
      <c r="F38" s="129" t="n"/>
      <c r="G38" s="67" t="n"/>
      <c r="H38" s="129" t="n"/>
      <c r="I38" s="136" t="n"/>
      <c r="J38" s="135" t="n"/>
      <c r="K38" s="137" t="n"/>
      <c r="L38" s="135" t="n"/>
      <c r="M38" s="57">
        <f>K38-I38</f>
        <v/>
      </c>
      <c r="N38" s="135" t="n"/>
      <c r="O38" s="56" t="n"/>
      <c r="P38" s="135" t="n"/>
      <c r="Q38" s="57" t="n"/>
      <c r="R38" s="135" t="n"/>
      <c r="S38" s="64" t="n"/>
      <c r="T38" s="140" t="n"/>
      <c r="U38" s="139" t="n"/>
      <c r="V38" s="57" t="n"/>
      <c r="W38" s="135" t="n"/>
      <c r="X38" s="1" t="n"/>
      <c r="Y38" s="133" t="n"/>
      <c r="AF38" s="126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</row>
    <row r="39">
      <c r="A39" s="1" t="n"/>
      <c r="B39" s="1" t="n"/>
      <c r="C39" s="41" t="n">
        <v>27</v>
      </c>
      <c r="D39" s="134">
        <f>D38+1</f>
        <v/>
      </c>
      <c r="E39" s="66" t="n"/>
      <c r="F39" s="129" t="n"/>
      <c r="G39" s="67" t="n"/>
      <c r="H39" s="129" t="n"/>
      <c r="I39" s="136" t="n"/>
      <c r="J39" s="135" t="n"/>
      <c r="K39" s="137" t="n"/>
      <c r="L39" s="135" t="n"/>
      <c r="M39" s="57">
        <f>K39-I39</f>
        <v/>
      </c>
      <c r="N39" s="135" t="n"/>
      <c r="O39" s="56" t="n"/>
      <c r="P39" s="135" t="n"/>
      <c r="Q39" s="57" t="n"/>
      <c r="R39" s="135" t="n"/>
      <c r="S39" s="64" t="n"/>
      <c r="T39" s="140" t="n"/>
      <c r="U39" s="139" t="n"/>
      <c r="V39" s="57" t="n"/>
      <c r="W39" s="135" t="n"/>
      <c r="X39" s="1" t="n"/>
      <c r="Y39" s="133" t="n"/>
      <c r="AF39" s="126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</row>
    <row r="40">
      <c r="A40" s="1" t="n"/>
      <c r="B40" s="1" t="n"/>
      <c r="C40" s="41" t="n">
        <v>28</v>
      </c>
      <c r="D40" s="134">
        <f>D39+1</f>
        <v/>
      </c>
      <c r="E40" s="66" t="n"/>
      <c r="F40" s="129" t="n"/>
      <c r="G40" s="67" t="n"/>
      <c r="H40" s="129" t="n"/>
      <c r="I40" s="136" t="n"/>
      <c r="J40" s="135" t="n"/>
      <c r="K40" s="137" t="n"/>
      <c r="L40" s="135" t="n"/>
      <c r="M40" s="57">
        <f>K40-I40</f>
        <v/>
      </c>
      <c r="N40" s="135" t="n"/>
      <c r="O40" s="56" t="n"/>
      <c r="P40" s="135" t="n"/>
      <c r="Q40" s="57" t="n"/>
      <c r="R40" s="135" t="n"/>
      <c r="S40" s="64" t="n"/>
      <c r="T40" s="140" t="n"/>
      <c r="U40" s="139" t="n"/>
      <c r="V40" s="57" t="n"/>
      <c r="W40" s="135" t="n"/>
      <c r="X40" s="1" t="n"/>
      <c r="Y40" s="133" t="n"/>
      <c r="AF40" s="126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</row>
    <row r="41">
      <c r="A41" s="1" t="n"/>
      <c r="B41" s="1" t="n"/>
      <c r="C41" s="41" t="n">
        <v>29</v>
      </c>
      <c r="D41" s="134">
        <f>D40+1</f>
        <v/>
      </c>
      <c r="E41" s="66" t="n"/>
      <c r="F41" s="129" t="n"/>
      <c r="G41" s="67" t="n"/>
      <c r="H41" s="129" t="n"/>
      <c r="I41" s="136" t="n"/>
      <c r="J41" s="135" t="n"/>
      <c r="K41" s="137" t="n"/>
      <c r="L41" s="135" t="n"/>
      <c r="M41" s="57">
        <f>K41-I41</f>
        <v/>
      </c>
      <c r="N41" s="135" t="n"/>
      <c r="O41" s="56" t="n"/>
      <c r="P41" s="135" t="n"/>
      <c r="Q41" s="57" t="n"/>
      <c r="R41" s="135" t="n"/>
      <c r="S41" s="64" t="n"/>
      <c r="T41" s="140" t="n"/>
      <c r="U41" s="139" t="n"/>
      <c r="V41" s="57" t="n"/>
      <c r="W41" s="135" t="n"/>
      <c r="X41" s="1" t="n"/>
      <c r="Y41" s="133" t="n"/>
      <c r="AF41" s="126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</row>
    <row r="42">
      <c r="A42" s="1" t="n"/>
      <c r="B42" s="1" t="n"/>
      <c r="C42" s="41" t="n">
        <v>30</v>
      </c>
      <c r="D42" s="134">
        <f>D41+1</f>
        <v/>
      </c>
      <c r="E42" s="56" t="n"/>
      <c r="F42" s="135" t="n"/>
      <c r="G42" s="56" t="n"/>
      <c r="H42" s="135" t="n"/>
      <c r="I42" s="136" t="n"/>
      <c r="J42" s="135" t="n"/>
      <c r="K42" s="137" t="n"/>
      <c r="L42" s="135" t="n"/>
      <c r="M42" s="57">
        <f>K42-I42</f>
        <v/>
      </c>
      <c r="N42" s="135" t="n"/>
      <c r="O42" s="56" t="n"/>
      <c r="P42" s="135" t="n"/>
      <c r="Q42" s="57" t="n"/>
      <c r="R42" s="135" t="n"/>
      <c r="S42" s="64" t="n"/>
      <c r="T42" s="140" t="n"/>
      <c r="U42" s="139" t="n"/>
      <c r="V42" s="57" t="n"/>
      <c r="W42" s="135" t="n"/>
      <c r="X42" s="1" t="n"/>
      <c r="Y42" s="133" t="n"/>
      <c r="AF42" s="126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</row>
    <row r="43">
      <c r="A43" s="1" t="n"/>
      <c r="B43" s="1" t="n"/>
      <c r="C43" s="41" t="n">
        <v>31</v>
      </c>
      <c r="D43" s="134">
        <f>D42+1</f>
        <v/>
      </c>
      <c r="E43" s="56" t="n"/>
      <c r="F43" s="135" t="n"/>
      <c r="G43" s="56" t="n"/>
      <c r="H43" s="135" t="n"/>
      <c r="I43" s="147" t="n"/>
      <c r="J43" s="148" t="n"/>
      <c r="K43" s="149" t="n"/>
      <c r="L43" s="148" t="n"/>
      <c r="M43" s="88">
        <f>K43-I43</f>
        <v/>
      </c>
      <c r="N43" s="148" t="n"/>
      <c r="O43" s="90" t="n"/>
      <c r="P43" s="148" t="n"/>
      <c r="Q43" s="88" t="n"/>
      <c r="R43" s="148" t="n"/>
      <c r="S43" s="91" t="n"/>
      <c r="T43" s="150" t="n"/>
      <c r="U43" s="151" t="n"/>
      <c r="V43" s="88" t="n"/>
      <c r="W43" s="148" t="n"/>
      <c r="X43" s="1" t="n"/>
      <c r="Y43" s="133" t="n"/>
      <c r="AF43" s="126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94" t="inlineStr">
        <is>
          <t>⑪ 총 주행 거리(km)</t>
        </is>
      </c>
      <c r="J44" s="117" t="n"/>
      <c r="K44" s="117" t="n"/>
      <c r="L44" s="117" t="n"/>
      <c r="M44" s="117" t="n"/>
      <c r="N44" s="114" t="n"/>
      <c r="O44" s="152" t="inlineStr">
        <is>
          <t>⑫ 업무용 사용 거리</t>
        </is>
      </c>
      <c r="P44" s="116" t="n"/>
      <c r="Q44" s="116" t="n"/>
      <c r="R44" s="112" t="n"/>
      <c r="S44" s="94" t="inlineStr">
        <is>
          <t>개인 사용 거리(km)</t>
        </is>
      </c>
      <c r="T44" s="114" t="n"/>
      <c r="U44" s="94" t="inlineStr">
        <is>
          <t>⑬ 업무용 사용 비율(⑫/⑪)</t>
        </is>
      </c>
      <c r="V44" s="117" t="n"/>
      <c r="W44" s="114" t="n"/>
      <c r="X44" s="1" t="n"/>
      <c r="Y44" s="133" t="n"/>
      <c r="AF44" s="126" t="n"/>
      <c r="AG44" s="1" t="n"/>
      <c r="AH44" s="153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54">
        <f>SUM(M13:N43)</f>
        <v/>
      </c>
      <c r="J45" s="117" t="n"/>
      <c r="K45" s="117" t="n"/>
      <c r="L45" s="117" t="n"/>
      <c r="M45" s="117" t="n"/>
      <c r="N45" s="114" t="n"/>
      <c r="O45" s="154">
        <f>SUM(O13:R43)</f>
        <v/>
      </c>
      <c r="P45" s="117" t="n"/>
      <c r="Q45" s="117" t="n"/>
      <c r="R45" s="114" t="n"/>
      <c r="S45" s="155">
        <f>SUM(S13:T43)</f>
        <v/>
      </c>
      <c r="T45" s="119" t="n"/>
      <c r="U45" s="156">
        <f>IFERROR(O45/I45,"")</f>
        <v/>
      </c>
      <c r="V45" s="117" t="n"/>
      <c r="W45" s="114" t="n"/>
      <c r="X45" s="1" t="n"/>
      <c r="Y45" s="157" t="n"/>
      <c r="Z45" s="122" t="n"/>
      <c r="AA45" s="122" t="n"/>
      <c r="AB45" s="122" t="n"/>
      <c r="AC45" s="122" t="n"/>
      <c r="AD45" s="122" t="n"/>
      <c r="AE45" s="122" t="n"/>
      <c r="AF45" s="119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</row>
    <row r="50" ht="18" customHeight="1" s="111">
      <c r="A50" s="158" t="inlineStr">
        <is>
          <t>【앱 업로드 방법】 ① 차종·차량번호 입력 ② I열(출발km)·K열(도착km) 입력 ③ O열(출퇴근용)·Q열(업무용)·S열(개인사용) 중 해당 열에 ✓ 표시 or km 입력 ④ 파일 저장 후 앱 업로드</t>
        </is>
      </c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</row>
  </sheetData>
  <mergeCells count="346">
    <mergeCell ref="K33:L33"/>
    <mergeCell ref="K35:L35"/>
    <mergeCell ref="V20:W20"/>
    <mergeCell ref="M35:N35"/>
    <mergeCell ref="O32:P32"/>
    <mergeCell ref="O26:P26"/>
    <mergeCell ref="Q26:R26"/>
    <mergeCell ref="Y17:AF17"/>
    <mergeCell ref="V15:W15"/>
    <mergeCell ref="S19:T19"/>
    <mergeCell ref="O40:P40"/>
    <mergeCell ref="O27:P27"/>
    <mergeCell ref="Q27:R27"/>
    <mergeCell ref="M11:N12"/>
    <mergeCell ref="S20:T20"/>
    <mergeCell ref="K28:L28"/>
    <mergeCell ref="Y41:AF41"/>
    <mergeCell ref="E3:F3"/>
    <mergeCell ref="I30:J30"/>
    <mergeCell ref="S22:T22"/>
    <mergeCell ref="K30:L30"/>
    <mergeCell ref="Q37:R37"/>
    <mergeCell ref="Y43:AF43"/>
    <mergeCell ref="V33:W33"/>
    <mergeCell ref="U3:W3"/>
    <mergeCell ref="V35:W35"/>
    <mergeCell ref="I41:J41"/>
    <mergeCell ref="Q38:R38"/>
    <mergeCell ref="K41:L41"/>
    <mergeCell ref="S38:T38"/>
    <mergeCell ref="S13:T13"/>
    <mergeCell ref="V39:W39"/>
    <mergeCell ref="M13:N13"/>
    <mergeCell ref="I43:J43"/>
    <mergeCell ref="Q40:R40"/>
    <mergeCell ref="K43:L43"/>
    <mergeCell ref="S40:T40"/>
    <mergeCell ref="Q15:R15"/>
    <mergeCell ref="Y25:AF25"/>
    <mergeCell ref="S15:T15"/>
    <mergeCell ref="S33:T33"/>
    <mergeCell ref="O37:P37"/>
    <mergeCell ref="E16:F16"/>
    <mergeCell ref="G16:H16"/>
    <mergeCell ref="E18:F18"/>
    <mergeCell ref="V21:W21"/>
    <mergeCell ref="K25:L25"/>
    <mergeCell ref="V23:W23"/>
    <mergeCell ref="K29:L29"/>
    <mergeCell ref="E29:F29"/>
    <mergeCell ref="V24:W24"/>
    <mergeCell ref="K31:L31"/>
    <mergeCell ref="S28:T28"/>
    <mergeCell ref="M31:N31"/>
    <mergeCell ref="E31:F31"/>
    <mergeCell ref="V36:W36"/>
    <mergeCell ref="M26:N26"/>
    <mergeCell ref="Q41:R41"/>
    <mergeCell ref="S41:T41"/>
    <mergeCell ref="A50:Y50"/>
    <mergeCell ref="Q43:R43"/>
    <mergeCell ref="E24:F24"/>
    <mergeCell ref="S43:T43"/>
    <mergeCell ref="E42:F42"/>
    <mergeCell ref="E17:F17"/>
    <mergeCell ref="G17:H17"/>
    <mergeCell ref="V29:W29"/>
    <mergeCell ref="Y39:AF39"/>
    <mergeCell ref="E19:F19"/>
    <mergeCell ref="G19:H19"/>
    <mergeCell ref="V31:W31"/>
    <mergeCell ref="Q34:R34"/>
    <mergeCell ref="S34:T34"/>
    <mergeCell ref="M28:N28"/>
    <mergeCell ref="G14:H14"/>
    <mergeCell ref="I39:J39"/>
    <mergeCell ref="I14:J14"/>
    <mergeCell ref="Q36:R36"/>
    <mergeCell ref="V32:W32"/>
    <mergeCell ref="K39:L39"/>
    <mergeCell ref="S36:T36"/>
    <mergeCell ref="V26:W26"/>
    <mergeCell ref="K14:L14"/>
    <mergeCell ref="S29:T29"/>
    <mergeCell ref="M32:N32"/>
    <mergeCell ref="E37:F37"/>
    <mergeCell ref="S44:T44"/>
    <mergeCell ref="S31:T31"/>
    <mergeCell ref="V42:W42"/>
    <mergeCell ref="I25:J25"/>
    <mergeCell ref="Y20:AF20"/>
    <mergeCell ref="Y14:AF14"/>
    <mergeCell ref="M16:N16"/>
    <mergeCell ref="O16:P16"/>
    <mergeCell ref="Y22:AF22"/>
    <mergeCell ref="E27:F27"/>
    <mergeCell ref="M18:N18"/>
    <mergeCell ref="U44:W44"/>
    <mergeCell ref="S11:T12"/>
    <mergeCell ref="M17:N17"/>
    <mergeCell ref="G20:H20"/>
    <mergeCell ref="O17:P17"/>
    <mergeCell ref="I20:J20"/>
    <mergeCell ref="Q17:R17"/>
    <mergeCell ref="E22:F22"/>
    <mergeCell ref="M19:N19"/>
    <mergeCell ref="I13:J13"/>
    <mergeCell ref="G22:H22"/>
    <mergeCell ref="K13:L13"/>
    <mergeCell ref="I15:J15"/>
    <mergeCell ref="Q12:R12"/>
    <mergeCell ref="K15:L15"/>
    <mergeCell ref="Q39:R39"/>
    <mergeCell ref="S39:T39"/>
    <mergeCell ref="E38:F38"/>
    <mergeCell ref="G38:H38"/>
    <mergeCell ref="E40:F40"/>
    <mergeCell ref="G33:H33"/>
    <mergeCell ref="I33:J33"/>
    <mergeCell ref="M41:N41"/>
    <mergeCell ref="G35:H35"/>
    <mergeCell ref="M24:N24"/>
    <mergeCell ref="I35:J35"/>
    <mergeCell ref="U2:W2"/>
    <mergeCell ref="O19:P19"/>
    <mergeCell ref="C2:D3"/>
    <mergeCell ref="O20:P20"/>
    <mergeCell ref="C10:D12"/>
    <mergeCell ref="Q20:R20"/>
    <mergeCell ref="Q14:R14"/>
    <mergeCell ref="S14:T14"/>
    <mergeCell ref="O22:P22"/>
    <mergeCell ref="I21:J21"/>
    <mergeCell ref="M37:N37"/>
    <mergeCell ref="Y34:AF34"/>
    <mergeCell ref="I23:J23"/>
    <mergeCell ref="K23:L23"/>
    <mergeCell ref="O44:R44"/>
    <mergeCell ref="E41:F41"/>
    <mergeCell ref="M38:N38"/>
    <mergeCell ref="G41:H41"/>
    <mergeCell ref="O38:P38"/>
    <mergeCell ref="K18:L18"/>
    <mergeCell ref="E43:F43"/>
    <mergeCell ref="I34:J34"/>
    <mergeCell ref="G43:H43"/>
    <mergeCell ref="I2:R3"/>
    <mergeCell ref="K34:L34"/>
    <mergeCell ref="Q25:R25"/>
    <mergeCell ref="S25:T25"/>
    <mergeCell ref="G36:H36"/>
    <mergeCell ref="O33:P33"/>
    <mergeCell ref="E7:H7"/>
    <mergeCell ref="I36:J36"/>
    <mergeCell ref="Q33:R33"/>
    <mergeCell ref="K36:L36"/>
    <mergeCell ref="S2:T2"/>
    <mergeCell ref="Y31:AF31"/>
    <mergeCell ref="Q22:R22"/>
    <mergeCell ref="Y13:AF13"/>
    <mergeCell ref="G29:H29"/>
    <mergeCell ref="I29:J29"/>
    <mergeCell ref="V16:W16"/>
    <mergeCell ref="G31:H31"/>
    <mergeCell ref="I31:J31"/>
    <mergeCell ref="V18:W18"/>
    <mergeCell ref="C6:D6"/>
    <mergeCell ref="Q21:R21"/>
    <mergeCell ref="V17:W17"/>
    <mergeCell ref="K24:L24"/>
    <mergeCell ref="S21:T21"/>
    <mergeCell ref="I26:J26"/>
    <mergeCell ref="K26:L26"/>
    <mergeCell ref="Y44:AF44"/>
    <mergeCell ref="O41:P41"/>
    <mergeCell ref="O35:P35"/>
    <mergeCell ref="Q35:R35"/>
    <mergeCell ref="O43:P43"/>
    <mergeCell ref="I42:J42"/>
    <mergeCell ref="K42:L42"/>
    <mergeCell ref="G11:H12"/>
    <mergeCell ref="I11:J12"/>
    <mergeCell ref="Y28:AF28"/>
    <mergeCell ref="E10:H10"/>
    <mergeCell ref="Q30:R30"/>
    <mergeCell ref="S30:T30"/>
    <mergeCell ref="K37:L37"/>
    <mergeCell ref="Y23:AF23"/>
    <mergeCell ref="U11:W11"/>
    <mergeCell ref="E14:F14"/>
    <mergeCell ref="K21:L21"/>
    <mergeCell ref="O29:P29"/>
    <mergeCell ref="I32:J32"/>
    <mergeCell ref="Q29:R29"/>
    <mergeCell ref="K32:L32"/>
    <mergeCell ref="Q23:R23"/>
    <mergeCell ref="V19:W19"/>
    <mergeCell ref="S23:T23"/>
    <mergeCell ref="O31:P31"/>
    <mergeCell ref="Q31:R31"/>
    <mergeCell ref="O45:R45"/>
    <mergeCell ref="Y16:AF16"/>
    <mergeCell ref="K27:L27"/>
    <mergeCell ref="S24:T24"/>
    <mergeCell ref="M27:N27"/>
    <mergeCell ref="Y18:AF18"/>
    <mergeCell ref="Y45:AF45"/>
    <mergeCell ref="E25:F25"/>
    <mergeCell ref="G25:H25"/>
    <mergeCell ref="V37:W37"/>
    <mergeCell ref="K16:L16"/>
    <mergeCell ref="Y42:AF42"/>
    <mergeCell ref="G2:H2"/>
    <mergeCell ref="Q42:R42"/>
    <mergeCell ref="V38:W38"/>
    <mergeCell ref="S42:T42"/>
    <mergeCell ref="K11:L12"/>
    <mergeCell ref="Y15:AF15"/>
    <mergeCell ref="V13:W13"/>
    <mergeCell ref="E20:F20"/>
    <mergeCell ref="E13:F13"/>
    <mergeCell ref="G13:H13"/>
    <mergeCell ref="K40:L40"/>
    <mergeCell ref="S37:T37"/>
    <mergeCell ref="M40:N40"/>
    <mergeCell ref="M15:N15"/>
    <mergeCell ref="E15:F15"/>
    <mergeCell ref="G15:H15"/>
    <mergeCell ref="V27:W27"/>
    <mergeCell ref="E6:H6"/>
    <mergeCell ref="Q32:R32"/>
    <mergeCell ref="S32:T32"/>
    <mergeCell ref="V22:W22"/>
    <mergeCell ref="S26:T26"/>
    <mergeCell ref="Y35:AF36"/>
    <mergeCell ref="E33:F33"/>
    <mergeCell ref="S27:T27"/>
    <mergeCell ref="E35:F35"/>
    <mergeCell ref="E28:F28"/>
    <mergeCell ref="G28:H28"/>
    <mergeCell ref="I28:J28"/>
    <mergeCell ref="V40:W40"/>
    <mergeCell ref="G3:H3"/>
    <mergeCell ref="M30:N30"/>
    <mergeCell ref="E30:F30"/>
    <mergeCell ref="G30:H30"/>
    <mergeCell ref="I10:W10"/>
    <mergeCell ref="V41:W41"/>
    <mergeCell ref="S45:T45"/>
    <mergeCell ref="O12:P12"/>
    <mergeCell ref="M14:N14"/>
    <mergeCell ref="O14:P14"/>
    <mergeCell ref="O13:P13"/>
    <mergeCell ref="E21:F21"/>
    <mergeCell ref="G21:H21"/>
    <mergeCell ref="Q13:R13"/>
    <mergeCell ref="M43:N43"/>
    <mergeCell ref="E23:F23"/>
    <mergeCell ref="O15:P15"/>
    <mergeCell ref="G23:H23"/>
    <mergeCell ref="V34:W34"/>
    <mergeCell ref="I16:J16"/>
    <mergeCell ref="V28:W28"/>
    <mergeCell ref="G18:H18"/>
    <mergeCell ref="I18:J18"/>
    <mergeCell ref="V30:W30"/>
    <mergeCell ref="E34:F34"/>
    <mergeCell ref="G34:H34"/>
    <mergeCell ref="M25:N25"/>
    <mergeCell ref="O25:P25"/>
    <mergeCell ref="M36:N36"/>
    <mergeCell ref="E36:F36"/>
    <mergeCell ref="M33:N33"/>
    <mergeCell ref="S35:T35"/>
    <mergeCell ref="V43:W43"/>
    <mergeCell ref="Y38:AF38"/>
    <mergeCell ref="O11:R11"/>
    <mergeCell ref="Y24:AF24"/>
    <mergeCell ref="Y19:AF19"/>
    <mergeCell ref="M21:N21"/>
    <mergeCell ref="G24:H24"/>
    <mergeCell ref="O21:P21"/>
    <mergeCell ref="I24:J24"/>
    <mergeCell ref="E26:F26"/>
    <mergeCell ref="I17:J17"/>
    <mergeCell ref="G26:H26"/>
    <mergeCell ref="K17:L17"/>
    <mergeCell ref="I19:J19"/>
    <mergeCell ref="Y29:AF30"/>
    <mergeCell ref="K19:L19"/>
    <mergeCell ref="M34:N34"/>
    <mergeCell ref="O34:P34"/>
    <mergeCell ref="G42:H42"/>
    <mergeCell ref="O28:P28"/>
    <mergeCell ref="Q28:R28"/>
    <mergeCell ref="E11:F12"/>
    <mergeCell ref="M39:N39"/>
    <mergeCell ref="E39:F39"/>
    <mergeCell ref="O39:P39"/>
    <mergeCell ref="S3:T3"/>
    <mergeCell ref="G39:H39"/>
    <mergeCell ref="O36:P36"/>
    <mergeCell ref="O30:P30"/>
    <mergeCell ref="Y21:AF21"/>
    <mergeCell ref="G37:H37"/>
    <mergeCell ref="I37:J37"/>
    <mergeCell ref="I44:N44"/>
    <mergeCell ref="Y26:AF26"/>
    <mergeCell ref="Y27:AF27"/>
    <mergeCell ref="C7:D7"/>
    <mergeCell ref="E32:F32"/>
    <mergeCell ref="M29:N29"/>
    <mergeCell ref="G32:H32"/>
    <mergeCell ref="M23:N23"/>
    <mergeCell ref="O23:P23"/>
    <mergeCell ref="Q16:R16"/>
    <mergeCell ref="V12:W12"/>
    <mergeCell ref="S16:T16"/>
    <mergeCell ref="G27:H27"/>
    <mergeCell ref="O24:P24"/>
    <mergeCell ref="I27:J27"/>
    <mergeCell ref="Q24:R24"/>
    <mergeCell ref="O18:P18"/>
    <mergeCell ref="Q18:R18"/>
    <mergeCell ref="V14:W14"/>
    <mergeCell ref="S18:T18"/>
    <mergeCell ref="K20:L20"/>
    <mergeCell ref="S17:T17"/>
    <mergeCell ref="M20:N20"/>
    <mergeCell ref="Y11:AF11"/>
    <mergeCell ref="I22:J22"/>
    <mergeCell ref="Q19:R19"/>
    <mergeCell ref="Y32:AF33"/>
    <mergeCell ref="K22:L22"/>
    <mergeCell ref="M22:N22"/>
    <mergeCell ref="Y40:AF40"/>
    <mergeCell ref="E2:F2"/>
    <mergeCell ref="M42:N42"/>
    <mergeCell ref="O42:P42"/>
    <mergeCell ref="I38:J38"/>
    <mergeCell ref="K38:L38"/>
    <mergeCell ref="V25:W25"/>
    <mergeCell ref="U45:W45"/>
    <mergeCell ref="I45:N45"/>
    <mergeCell ref="G40:H40"/>
    <mergeCell ref="I40:J40"/>
  </mergeCells>
  <conditionalFormatting sqref="D13:D43">
    <cfRule type="expression" priority="1" dxfId="1">
      <formula>OR(WEEKDAY(D13,2)=6,WEEKDAY(D13,2)=7)</formula>
    </cfRule>
  </conditionalFormatting>
  <conditionalFormatting sqref="M13:N43">
    <cfRule type="expression" priority="2" dxfId="0">
      <formula>O13+Q13+S13&lt;&gt;M13</formula>
    </cfRule>
  </conditionalFormatting>
  <pageMargins left="0.7" right="0.7" top="0.75" bottom="0.75" header="0.3" footer="0.3"/>
  <pageSetup orientation="portrait" paperSize="9" scale="24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규영 김</dc:creator>
  <dcterms:created xmlns:dcterms="http://purl.org/dc/terms/" xmlns:xsi="http://www.w3.org/2001/XMLSchema-instance" xsi:type="dcterms:W3CDTF">2026-06-29T03:25:40Z</dcterms:created>
  <dcterms:modified xmlns:dcterms="http://purl.org/dc/terms/" xmlns:xsi="http://www.w3.org/2001/XMLSchema-instance" xsi:type="dcterms:W3CDTF">2026-07-04T08:11:12Z</dcterms:modified>
  <cp:lastModifiedBy>규영 김</cp:lastModifiedBy>
</cp:coreProperties>
</file>